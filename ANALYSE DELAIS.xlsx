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onceblanc.sharepoint.com/Documents partages/Administratif/PROJET/10 - Analyse des délais/"/>
    </mc:Choice>
  </mc:AlternateContent>
  <xr:revisionPtr revIDLastSave="2214" documentId="13_ncr:1_{812CE923-C0E5-444E-8B27-77724A147C38}" xr6:coauthVersionLast="47" xr6:coauthVersionMax="47" xr10:uidLastSave="{40BDF2D1-38B5-4132-83CB-4CE0F5AA6CE5}"/>
  <bookViews>
    <workbookView xWindow="28680" yWindow="-14565" windowWidth="38640" windowHeight="21120" xr2:uid="{478E8588-9645-4D74-8111-5BE0695A9D8D}"/>
  </bookViews>
  <sheets>
    <sheet name="Feuil1" sheetId="1" r:id="rId1"/>
    <sheet name="Feuil3" sheetId="3" r:id="rId2"/>
  </sheets>
  <definedNames>
    <definedName name="_xlnm._FilterDatabase" localSheetId="0" hidden="1">Feuil1!$A$1:$AN$254</definedName>
    <definedName name="_xlnm._FilterDatabase" localSheetId="1" hidden="1">Feuil3!$A$1:$D$162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1" i="3" l="1"/>
  <c r="D32" i="3"/>
  <c r="D33" i="3"/>
  <c r="D34" i="3"/>
  <c r="D35" i="3"/>
  <c r="D36" i="3"/>
  <c r="D156" i="3"/>
  <c r="D37" i="3"/>
  <c r="D38" i="3"/>
  <c r="D12" i="3"/>
  <c r="D39" i="3"/>
  <c r="D13" i="3"/>
  <c r="D40" i="3"/>
  <c r="D41" i="3"/>
  <c r="D14" i="3"/>
  <c r="D42" i="3"/>
  <c r="D15" i="3"/>
  <c r="D43" i="3"/>
  <c r="D44" i="3"/>
  <c r="D45" i="3"/>
  <c r="D149" i="3"/>
  <c r="D46" i="3"/>
  <c r="D150" i="3"/>
  <c r="D47" i="3"/>
  <c r="D16" i="3"/>
  <c r="D48" i="3"/>
  <c r="D49" i="3"/>
  <c r="D17" i="3"/>
  <c r="D151" i="3"/>
  <c r="D50" i="3"/>
  <c r="D51" i="3"/>
  <c r="D52" i="3"/>
  <c r="D53" i="3"/>
  <c r="D54" i="3"/>
  <c r="D55" i="3"/>
  <c r="D56" i="3"/>
  <c r="D57" i="3"/>
  <c r="D58" i="3"/>
  <c r="D162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18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7" i="3"/>
  <c r="D19" i="3"/>
  <c r="D93" i="3"/>
  <c r="D94" i="3"/>
  <c r="D9" i="3"/>
  <c r="D95" i="3"/>
  <c r="D96" i="3"/>
  <c r="D97" i="3"/>
  <c r="D98" i="3"/>
  <c r="D99" i="3"/>
  <c r="D100" i="3"/>
  <c r="D101" i="3"/>
  <c r="D102" i="3"/>
  <c r="D103" i="3"/>
  <c r="D104" i="3"/>
  <c r="D105" i="3"/>
  <c r="D106" i="3"/>
  <c r="D20" i="3"/>
  <c r="D107" i="3"/>
  <c r="D108" i="3"/>
  <c r="D21" i="3"/>
  <c r="D10" i="3"/>
  <c r="D109" i="3"/>
  <c r="D2" i="3"/>
  <c r="D110" i="3"/>
  <c r="D111" i="3"/>
  <c r="D112" i="3"/>
  <c r="D113" i="3"/>
  <c r="D4" i="3"/>
  <c r="D5" i="3"/>
  <c r="D114" i="3"/>
  <c r="D3" i="3"/>
  <c r="D28" i="3"/>
  <c r="D22" i="3"/>
  <c r="D23" i="3"/>
  <c r="D115" i="3"/>
  <c r="D8" i="3"/>
  <c r="D116" i="3"/>
  <c r="D117" i="3"/>
  <c r="D147" i="3"/>
  <c r="D118" i="3"/>
  <c r="D119" i="3"/>
  <c r="D157" i="3"/>
  <c r="D120" i="3"/>
  <c r="D121" i="3"/>
  <c r="D122" i="3"/>
  <c r="D123" i="3"/>
  <c r="D152" i="3"/>
  <c r="D124" i="3"/>
  <c r="D125" i="3"/>
  <c r="D161" i="3"/>
  <c r="D126" i="3"/>
  <c r="D24" i="3"/>
  <c r="D127" i="3"/>
  <c r="D128" i="3"/>
  <c r="D129" i="3"/>
  <c r="D25" i="3"/>
  <c r="D130" i="3"/>
  <c r="D131" i="3"/>
  <c r="D132" i="3"/>
  <c r="D133" i="3"/>
  <c r="D158" i="3"/>
  <c r="D148" i="3"/>
  <c r="D153" i="3"/>
  <c r="D154" i="3"/>
  <c r="D159" i="3"/>
  <c r="D26" i="3"/>
  <c r="D29" i="3"/>
  <c r="D134" i="3"/>
  <c r="D6" i="3"/>
  <c r="D135" i="3"/>
  <c r="D136" i="3"/>
  <c r="D137" i="3"/>
  <c r="D138" i="3"/>
  <c r="D139" i="3"/>
  <c r="D11" i="3"/>
  <c r="D140" i="3"/>
  <c r="D27" i="3"/>
  <c r="D146" i="3"/>
  <c r="D141" i="3"/>
  <c r="D142" i="3"/>
  <c r="D143" i="3"/>
  <c r="D144" i="3"/>
  <c r="D160" i="3"/>
  <c r="D145" i="3"/>
  <c r="D155" i="3"/>
  <c r="D30" i="3"/>
  <c r="AL3" i="1"/>
  <c r="AL4" i="1"/>
  <c r="AL5" i="1"/>
  <c r="AL6" i="1"/>
  <c r="AL7" i="1"/>
  <c r="AL8" i="1"/>
  <c r="AL9" i="1"/>
  <c r="AL10" i="1"/>
  <c r="AL11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1" i="1"/>
  <c r="AL32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69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6" i="1"/>
  <c r="AL87" i="1"/>
  <c r="AL88" i="1"/>
  <c r="AL89" i="1"/>
  <c r="AL90" i="1"/>
  <c r="AL91" i="1"/>
  <c r="AL92" i="1"/>
  <c r="AL93" i="1"/>
  <c r="AL94" i="1"/>
  <c r="AL95" i="1"/>
  <c r="AL96" i="1"/>
  <c r="AL97" i="1"/>
  <c r="AL98" i="1"/>
  <c r="AL99" i="1"/>
  <c r="AL100" i="1"/>
  <c r="AL101" i="1"/>
  <c r="AL102" i="1"/>
  <c r="AL103" i="1"/>
  <c r="AL104" i="1"/>
  <c r="AL105" i="1"/>
  <c r="AL106" i="1"/>
  <c r="AL107" i="1"/>
  <c r="AL108" i="1"/>
  <c r="AL109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" i="1"/>
  <c r="AM17" i="1"/>
  <c r="AM3" i="1"/>
  <c r="AM4" i="1"/>
  <c r="AM5" i="1"/>
  <c r="AM6" i="1"/>
  <c r="AM7" i="1"/>
  <c r="AM8" i="1"/>
  <c r="AM9" i="1"/>
  <c r="AM10" i="1"/>
  <c r="AM11" i="1"/>
  <c r="AM13" i="1"/>
  <c r="AM14" i="1"/>
  <c r="AM15" i="1"/>
  <c r="AM16" i="1"/>
  <c r="AM18" i="1"/>
  <c r="AM19" i="1"/>
  <c r="AM20" i="1"/>
  <c r="AM21" i="1"/>
  <c r="AM22" i="1"/>
  <c r="AM23" i="1"/>
  <c r="AM24" i="1"/>
  <c r="AM25" i="1"/>
  <c r="AM26" i="1"/>
  <c r="AM27" i="1"/>
  <c r="AM28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" i="1"/>
  <c r="AN2" i="1"/>
  <c r="AN3" i="1"/>
  <c r="AN4" i="1"/>
  <c r="AN5" i="1"/>
  <c r="AN6" i="1"/>
  <c r="AN7" i="1"/>
  <c r="AN8" i="1"/>
  <c r="AN9" i="1"/>
  <c r="AN10" i="1"/>
  <c r="AN11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Z3" i="1"/>
  <c r="Z4" i="1"/>
  <c r="Z5" i="1"/>
  <c r="Z6" i="1"/>
  <c r="Z7" i="1"/>
  <c r="Z8" i="1"/>
  <c r="Z9" i="1"/>
  <c r="Z10" i="1"/>
  <c r="Z11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AD9" i="1"/>
  <c r="AC2" i="1"/>
  <c r="AA14" i="1"/>
  <c r="AG3" i="1"/>
  <c r="AG4" i="1"/>
  <c r="AG5" i="1"/>
  <c r="AG6" i="1"/>
  <c r="AG7" i="1"/>
  <c r="AG8" i="1"/>
  <c r="AG9" i="1"/>
  <c r="AG10" i="1"/>
  <c r="AG11" i="1"/>
  <c r="AG13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74" i="1"/>
  <c r="AG75" i="1"/>
  <c r="AG76" i="1"/>
  <c r="AG77" i="1"/>
  <c r="AG78" i="1"/>
  <c r="AG79" i="1"/>
  <c r="AG80" i="1"/>
  <c r="AG81" i="1"/>
  <c r="AG82" i="1"/>
  <c r="AG83" i="1"/>
  <c r="AG84" i="1"/>
  <c r="AG85" i="1"/>
  <c r="AG86" i="1"/>
  <c r="AG87" i="1"/>
  <c r="AG88" i="1"/>
  <c r="AG89" i="1"/>
  <c r="AG90" i="1"/>
  <c r="AG91" i="1"/>
  <c r="AG92" i="1"/>
  <c r="AG93" i="1"/>
  <c r="AG94" i="1"/>
  <c r="AG95" i="1"/>
  <c r="AG96" i="1"/>
  <c r="AG97" i="1"/>
  <c r="AG98" i="1"/>
  <c r="AG99" i="1"/>
  <c r="AG100" i="1"/>
  <c r="AG101" i="1"/>
  <c r="AG102" i="1"/>
  <c r="AG103" i="1"/>
  <c r="AG104" i="1"/>
  <c r="AG105" i="1"/>
  <c r="AG106" i="1"/>
  <c r="AG107" i="1"/>
  <c r="AG108" i="1"/>
  <c r="AG109" i="1"/>
  <c r="AG110" i="1"/>
  <c r="AG111" i="1"/>
  <c r="AG112" i="1"/>
  <c r="AG113" i="1"/>
  <c r="AG114" i="1"/>
  <c r="AG115" i="1"/>
  <c r="AG116" i="1"/>
  <c r="AG117" i="1"/>
  <c r="AG118" i="1"/>
  <c r="AG119" i="1"/>
  <c r="AG120" i="1"/>
  <c r="AG121" i="1"/>
  <c r="AG122" i="1"/>
  <c r="AG123" i="1"/>
  <c r="AG124" i="1"/>
  <c r="AG125" i="1"/>
  <c r="AG126" i="1"/>
  <c r="AG127" i="1"/>
  <c r="AG128" i="1"/>
  <c r="AG129" i="1"/>
  <c r="AG131" i="1"/>
  <c r="AG132" i="1"/>
  <c r="AG133" i="1"/>
  <c r="AG134" i="1"/>
  <c r="AG135" i="1"/>
  <c r="AG136" i="1"/>
  <c r="AG137" i="1"/>
  <c r="AG138" i="1"/>
  <c r="AG139" i="1"/>
  <c r="AG140" i="1"/>
  <c r="AG141" i="1"/>
  <c r="AG142" i="1"/>
  <c r="AG143" i="1"/>
  <c r="AG144" i="1"/>
  <c r="AG145" i="1"/>
  <c r="AG146" i="1"/>
  <c r="AG147" i="1"/>
  <c r="AG148" i="1"/>
  <c r="AG149" i="1"/>
  <c r="AG150" i="1"/>
  <c r="AG151" i="1"/>
  <c r="AG152" i="1"/>
  <c r="AG153" i="1"/>
  <c r="AG154" i="1"/>
  <c r="AG155" i="1"/>
  <c r="AG156" i="1"/>
  <c r="AG157" i="1"/>
  <c r="AG158" i="1"/>
  <c r="AG159" i="1"/>
  <c r="AG160" i="1"/>
  <c r="AG161" i="1"/>
  <c r="AG162" i="1"/>
  <c r="AG163" i="1"/>
  <c r="AG164" i="1"/>
  <c r="AG165" i="1"/>
  <c r="AG166" i="1"/>
  <c r="AG167" i="1"/>
  <c r="AG168" i="1"/>
  <c r="AG169" i="1"/>
  <c r="AG170" i="1"/>
  <c r="AG171" i="1"/>
  <c r="AG172" i="1"/>
  <c r="AG173" i="1"/>
  <c r="AG174" i="1"/>
  <c r="AG175" i="1"/>
  <c r="AG176" i="1"/>
  <c r="AG177" i="1"/>
  <c r="AG178" i="1"/>
  <c r="AG179" i="1"/>
  <c r="AG180" i="1"/>
  <c r="AG181" i="1"/>
  <c r="AG182" i="1"/>
  <c r="AG183" i="1"/>
  <c r="AG184" i="1"/>
  <c r="AG185" i="1"/>
  <c r="AG186" i="1"/>
  <c r="AG187" i="1"/>
  <c r="AG188" i="1"/>
  <c r="AG189" i="1"/>
  <c r="AG190" i="1"/>
  <c r="AG191" i="1"/>
  <c r="AG192" i="1"/>
  <c r="AG193" i="1"/>
  <c r="AG194" i="1"/>
  <c r="AG195" i="1"/>
  <c r="AG196" i="1"/>
  <c r="AG197" i="1"/>
  <c r="AG198" i="1"/>
  <c r="AG199" i="1"/>
  <c r="AG200" i="1"/>
  <c r="AG201" i="1"/>
  <c r="AG202" i="1"/>
  <c r="AG203" i="1"/>
  <c r="AG204" i="1"/>
  <c r="AG205" i="1"/>
  <c r="AG206" i="1"/>
  <c r="AG207" i="1"/>
  <c r="AG208" i="1"/>
  <c r="AG209" i="1"/>
  <c r="AG210" i="1"/>
  <c r="AG211" i="1"/>
  <c r="AG212" i="1"/>
  <c r="AG213" i="1"/>
  <c r="AG214" i="1"/>
  <c r="AG215" i="1"/>
  <c r="AG216" i="1"/>
  <c r="AG217" i="1"/>
  <c r="AG218" i="1"/>
  <c r="AG219" i="1"/>
  <c r="AG220" i="1"/>
  <c r="AG221" i="1"/>
  <c r="AG222" i="1"/>
  <c r="AG223" i="1"/>
  <c r="AG224" i="1"/>
  <c r="AG225" i="1"/>
  <c r="AG226" i="1"/>
  <c r="AG227" i="1"/>
  <c r="AG228" i="1"/>
  <c r="AG229" i="1"/>
  <c r="AG230" i="1"/>
  <c r="AG231" i="1"/>
  <c r="AG232" i="1"/>
  <c r="AG233" i="1"/>
  <c r="AG234" i="1"/>
  <c r="AG235" i="1"/>
  <c r="AG236" i="1"/>
  <c r="AG237" i="1"/>
  <c r="AG238" i="1"/>
  <c r="AG239" i="1"/>
  <c r="AG240" i="1"/>
  <c r="AG241" i="1"/>
  <c r="AG242" i="1"/>
  <c r="AG243" i="1"/>
  <c r="AG244" i="1"/>
  <c r="AG245" i="1"/>
  <c r="AG246" i="1"/>
  <c r="AG247" i="1"/>
  <c r="AG248" i="1"/>
  <c r="AG249" i="1"/>
  <c r="AG250" i="1"/>
  <c r="AG251" i="1"/>
  <c r="AG252" i="1"/>
  <c r="AG253" i="1"/>
  <c r="AG254" i="1"/>
  <c r="AG2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74" i="1"/>
  <c r="AK75" i="1"/>
  <c r="AK76" i="1"/>
  <c r="AK77" i="1"/>
  <c r="AK78" i="1"/>
  <c r="AK79" i="1"/>
  <c r="AK80" i="1"/>
  <c r="AK81" i="1"/>
  <c r="AK82" i="1"/>
  <c r="AK83" i="1"/>
  <c r="AK84" i="1"/>
  <c r="AK85" i="1"/>
  <c r="AK86" i="1"/>
  <c r="AK87" i="1"/>
  <c r="AK88" i="1"/>
  <c r="AK89" i="1"/>
  <c r="AK90" i="1"/>
  <c r="AK91" i="1"/>
  <c r="AK92" i="1"/>
  <c r="AK93" i="1"/>
  <c r="AK94" i="1"/>
  <c r="AK95" i="1"/>
  <c r="AK96" i="1"/>
  <c r="AK97" i="1"/>
  <c r="AK98" i="1"/>
  <c r="AK99" i="1"/>
  <c r="AK100" i="1"/>
  <c r="AK101" i="1"/>
  <c r="AK102" i="1"/>
  <c r="AK103" i="1"/>
  <c r="AK104" i="1"/>
  <c r="AK105" i="1"/>
  <c r="AK106" i="1"/>
  <c r="AK107" i="1"/>
  <c r="AK108" i="1"/>
  <c r="AK109" i="1"/>
  <c r="AK110" i="1"/>
  <c r="AK111" i="1"/>
  <c r="AK112" i="1"/>
  <c r="AK113" i="1"/>
  <c r="AK114" i="1"/>
  <c r="AK115" i="1"/>
  <c r="AK116" i="1"/>
  <c r="AK117" i="1"/>
  <c r="AK118" i="1"/>
  <c r="AK119" i="1"/>
  <c r="AK120" i="1"/>
  <c r="AK121" i="1"/>
  <c r="AK122" i="1"/>
  <c r="AK123" i="1"/>
  <c r="AK124" i="1"/>
  <c r="AK125" i="1"/>
  <c r="AK126" i="1"/>
  <c r="AK127" i="1"/>
  <c r="AK128" i="1"/>
  <c r="AK129" i="1"/>
  <c r="AK131" i="1"/>
  <c r="AK132" i="1"/>
  <c r="AK133" i="1"/>
  <c r="AK134" i="1"/>
  <c r="AK135" i="1"/>
  <c r="AK136" i="1"/>
  <c r="AK137" i="1"/>
  <c r="AK138" i="1"/>
  <c r="AK139" i="1"/>
  <c r="AK140" i="1"/>
  <c r="AK141" i="1"/>
  <c r="AK142" i="1"/>
  <c r="AK143" i="1"/>
  <c r="AK144" i="1"/>
  <c r="AK145" i="1"/>
  <c r="AK146" i="1"/>
  <c r="AK147" i="1"/>
  <c r="AK148" i="1"/>
  <c r="AK149" i="1"/>
  <c r="AK150" i="1"/>
  <c r="AK151" i="1"/>
  <c r="AK152" i="1"/>
  <c r="AK153" i="1"/>
  <c r="AK154" i="1"/>
  <c r="AK155" i="1"/>
  <c r="AK156" i="1"/>
  <c r="AK157" i="1"/>
  <c r="AK158" i="1"/>
  <c r="AK159" i="1"/>
  <c r="AK160" i="1"/>
  <c r="AK161" i="1"/>
  <c r="AK162" i="1"/>
  <c r="AK163" i="1"/>
  <c r="AK164" i="1"/>
  <c r="AK165" i="1"/>
  <c r="AK166" i="1"/>
  <c r="AK167" i="1"/>
  <c r="AK168" i="1"/>
  <c r="AK169" i="1"/>
  <c r="AK170" i="1"/>
  <c r="AK171" i="1"/>
  <c r="AK172" i="1"/>
  <c r="AK173" i="1"/>
  <c r="AK174" i="1"/>
  <c r="AK175" i="1"/>
  <c r="AK176" i="1"/>
  <c r="AK177" i="1"/>
  <c r="AK178" i="1"/>
  <c r="AK179" i="1"/>
  <c r="AK180" i="1"/>
  <c r="AK181" i="1"/>
  <c r="AK182" i="1"/>
  <c r="AK183" i="1"/>
  <c r="AK184" i="1"/>
  <c r="AK185" i="1"/>
  <c r="AK186" i="1"/>
  <c r="AK187" i="1"/>
  <c r="AK188" i="1"/>
  <c r="AK189" i="1"/>
  <c r="AK190" i="1"/>
  <c r="AK191" i="1"/>
  <c r="AK192" i="1"/>
  <c r="AK193" i="1"/>
  <c r="AK194" i="1"/>
  <c r="AK195" i="1"/>
  <c r="AK196" i="1"/>
  <c r="AK197" i="1"/>
  <c r="AK198" i="1"/>
  <c r="AK199" i="1"/>
  <c r="AK200" i="1"/>
  <c r="AK201" i="1"/>
  <c r="AK202" i="1"/>
  <c r="AK203" i="1"/>
  <c r="AK204" i="1"/>
  <c r="AK205" i="1"/>
  <c r="AK206" i="1"/>
  <c r="AK207" i="1"/>
  <c r="AK208" i="1"/>
  <c r="AK209" i="1"/>
  <c r="AK210" i="1"/>
  <c r="AK211" i="1"/>
  <c r="AK212" i="1"/>
  <c r="AK213" i="1"/>
  <c r="AK214" i="1"/>
  <c r="AK215" i="1"/>
  <c r="AK216" i="1"/>
  <c r="AK217" i="1"/>
  <c r="AK218" i="1"/>
  <c r="AK219" i="1"/>
  <c r="AK220" i="1"/>
  <c r="AK221" i="1"/>
  <c r="AK222" i="1"/>
  <c r="AK223" i="1"/>
  <c r="AK224" i="1"/>
  <c r="AK225" i="1"/>
  <c r="AK226" i="1"/>
  <c r="AK227" i="1"/>
  <c r="AK228" i="1"/>
  <c r="AK229" i="1"/>
  <c r="AK230" i="1"/>
  <c r="AK231" i="1"/>
  <c r="AK232" i="1"/>
  <c r="AK233" i="1"/>
  <c r="AK234" i="1"/>
  <c r="AK235" i="1"/>
  <c r="AK236" i="1"/>
  <c r="AK237" i="1"/>
  <c r="AK238" i="1"/>
  <c r="AK239" i="1"/>
  <c r="AK240" i="1"/>
  <c r="AK241" i="1"/>
  <c r="AK242" i="1"/>
  <c r="AK243" i="1"/>
  <c r="AK244" i="1"/>
  <c r="AK245" i="1"/>
  <c r="AK246" i="1"/>
  <c r="AK247" i="1"/>
  <c r="AK248" i="1"/>
  <c r="AK249" i="1"/>
  <c r="AK250" i="1"/>
  <c r="AK251" i="1"/>
  <c r="AK252" i="1"/>
  <c r="AK253" i="1"/>
  <c r="AK254" i="1"/>
  <c r="AK5" i="1"/>
  <c r="AK6" i="1"/>
  <c r="AK7" i="1"/>
  <c r="AK8" i="1"/>
  <c r="AK9" i="1"/>
  <c r="AK10" i="1"/>
  <c r="AK11" i="1"/>
  <c r="AK13" i="1"/>
  <c r="AK14" i="1"/>
  <c r="AK15" i="1"/>
  <c r="AK16" i="1"/>
  <c r="AK17" i="1"/>
  <c r="AK18" i="1"/>
  <c r="AK19" i="1"/>
  <c r="AK20" i="1"/>
  <c r="AK21" i="1"/>
  <c r="AK22" i="1"/>
  <c r="AK23" i="1"/>
  <c r="AK24" i="1"/>
  <c r="AK25" i="1"/>
  <c r="AK26" i="1"/>
  <c r="AK27" i="1"/>
  <c r="AK28" i="1"/>
  <c r="AK30" i="1"/>
  <c r="AK31" i="1"/>
  <c r="AK32" i="1"/>
  <c r="AK33" i="1"/>
  <c r="AK34" i="1"/>
  <c r="AK35" i="1"/>
  <c r="AK36" i="1"/>
  <c r="AK37" i="1"/>
  <c r="AK38" i="1"/>
  <c r="AK3" i="1"/>
  <c r="AK4" i="1"/>
  <c r="AK2" i="1"/>
  <c r="AJ3" i="1"/>
  <c r="AJ4" i="1"/>
  <c r="AJ5" i="1"/>
  <c r="AJ6" i="1"/>
  <c r="AJ7" i="1"/>
  <c r="AJ8" i="1"/>
  <c r="AJ9" i="1"/>
  <c r="AJ10" i="1"/>
  <c r="AJ11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6" i="1"/>
  <c r="AJ87" i="1"/>
  <c r="AJ88" i="1"/>
  <c r="AJ89" i="1"/>
  <c r="AJ90" i="1"/>
  <c r="AJ91" i="1"/>
  <c r="AJ92" i="1"/>
  <c r="AJ93" i="1"/>
  <c r="AJ94" i="1"/>
  <c r="AJ95" i="1"/>
  <c r="AJ96" i="1"/>
  <c r="AJ97" i="1"/>
  <c r="AJ98" i="1"/>
  <c r="AJ99" i="1"/>
  <c r="AJ100" i="1"/>
  <c r="AJ101" i="1"/>
  <c r="AJ102" i="1"/>
  <c r="AJ103" i="1"/>
  <c r="AJ104" i="1"/>
  <c r="AJ105" i="1"/>
  <c r="AJ106" i="1"/>
  <c r="AJ107" i="1"/>
  <c r="AJ108" i="1"/>
  <c r="AJ109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" i="1"/>
  <c r="AE3" i="1"/>
  <c r="AE4" i="1"/>
  <c r="AE5" i="1"/>
  <c r="AE6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74" i="1"/>
  <c r="AE75" i="1"/>
  <c r="AE76" i="1"/>
  <c r="AE77" i="1"/>
  <c r="AE78" i="1"/>
  <c r="AE79" i="1"/>
  <c r="AE80" i="1"/>
  <c r="AE81" i="1"/>
  <c r="AE82" i="1"/>
  <c r="AE83" i="1"/>
  <c r="AE84" i="1"/>
  <c r="AE85" i="1"/>
  <c r="AE86" i="1"/>
  <c r="AE87" i="1"/>
  <c r="AE88" i="1"/>
  <c r="AE89" i="1"/>
  <c r="AE90" i="1"/>
  <c r="AE91" i="1"/>
  <c r="AE92" i="1"/>
  <c r="AE93" i="1"/>
  <c r="AE94" i="1"/>
  <c r="AE95" i="1"/>
  <c r="AE96" i="1"/>
  <c r="AE97" i="1"/>
  <c r="AE98" i="1"/>
  <c r="AE99" i="1"/>
  <c r="AE100" i="1"/>
  <c r="AE101" i="1"/>
  <c r="AE102" i="1"/>
  <c r="AE103" i="1"/>
  <c r="AE104" i="1"/>
  <c r="AE105" i="1"/>
  <c r="AE106" i="1"/>
  <c r="AE107" i="1"/>
  <c r="AE108" i="1"/>
  <c r="AE109" i="1"/>
  <c r="AE110" i="1"/>
  <c r="AE111" i="1"/>
  <c r="AE112" i="1"/>
  <c r="AE113" i="1"/>
  <c r="AE114" i="1"/>
  <c r="AE115" i="1"/>
  <c r="AE116" i="1"/>
  <c r="AE117" i="1"/>
  <c r="AE118" i="1"/>
  <c r="AE119" i="1"/>
  <c r="AE120" i="1"/>
  <c r="AE121" i="1"/>
  <c r="AE122" i="1"/>
  <c r="AE123" i="1"/>
  <c r="AE124" i="1"/>
  <c r="AE125" i="1"/>
  <c r="AE126" i="1"/>
  <c r="AE127" i="1"/>
  <c r="AE128" i="1"/>
  <c r="AE129" i="1"/>
  <c r="AE131" i="1"/>
  <c r="AE132" i="1"/>
  <c r="AE133" i="1"/>
  <c r="AE134" i="1"/>
  <c r="AE135" i="1"/>
  <c r="AE136" i="1"/>
  <c r="AE137" i="1"/>
  <c r="AE138" i="1"/>
  <c r="AE139" i="1"/>
  <c r="AE140" i="1"/>
  <c r="AE141" i="1"/>
  <c r="AE142" i="1"/>
  <c r="AE143" i="1"/>
  <c r="AE144" i="1"/>
  <c r="AE145" i="1"/>
  <c r="AE146" i="1"/>
  <c r="AE147" i="1"/>
  <c r="AE148" i="1"/>
  <c r="AE149" i="1"/>
  <c r="AE150" i="1"/>
  <c r="AE151" i="1"/>
  <c r="AE152" i="1"/>
  <c r="AE153" i="1"/>
  <c r="AE154" i="1"/>
  <c r="AE155" i="1"/>
  <c r="AE156" i="1"/>
  <c r="AE157" i="1"/>
  <c r="AE158" i="1"/>
  <c r="AE159" i="1"/>
  <c r="AE160" i="1"/>
  <c r="AE161" i="1"/>
  <c r="AE162" i="1"/>
  <c r="AE163" i="1"/>
  <c r="AE164" i="1"/>
  <c r="AE165" i="1"/>
  <c r="AE166" i="1"/>
  <c r="AE167" i="1"/>
  <c r="AE168" i="1"/>
  <c r="AE169" i="1"/>
  <c r="AE170" i="1"/>
  <c r="AE171" i="1"/>
  <c r="AE172" i="1"/>
  <c r="AE173" i="1"/>
  <c r="AE174" i="1"/>
  <c r="AE175" i="1"/>
  <c r="AE176" i="1"/>
  <c r="AE177" i="1"/>
  <c r="AE178" i="1"/>
  <c r="AE179" i="1"/>
  <c r="AE180" i="1"/>
  <c r="AE181" i="1"/>
  <c r="AE182" i="1"/>
  <c r="AE183" i="1"/>
  <c r="AE184" i="1"/>
  <c r="AE185" i="1"/>
  <c r="AE186" i="1"/>
  <c r="AE187" i="1"/>
  <c r="AE188" i="1"/>
  <c r="AE189" i="1"/>
  <c r="AE190" i="1"/>
  <c r="AE191" i="1"/>
  <c r="AE192" i="1"/>
  <c r="AE193" i="1"/>
  <c r="AE194" i="1"/>
  <c r="AE195" i="1"/>
  <c r="AE196" i="1"/>
  <c r="AE197" i="1"/>
  <c r="AE198" i="1"/>
  <c r="AE199" i="1"/>
  <c r="AE200" i="1"/>
  <c r="AE201" i="1"/>
  <c r="AE202" i="1"/>
  <c r="AE203" i="1"/>
  <c r="AE204" i="1"/>
  <c r="AE205" i="1"/>
  <c r="AE206" i="1"/>
  <c r="AE207" i="1"/>
  <c r="AE208" i="1"/>
  <c r="AE209" i="1"/>
  <c r="AE210" i="1"/>
  <c r="AE211" i="1"/>
  <c r="AE212" i="1"/>
  <c r="AE213" i="1"/>
  <c r="AE214" i="1"/>
  <c r="AE215" i="1"/>
  <c r="AE216" i="1"/>
  <c r="AE217" i="1"/>
  <c r="AE218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232" i="1"/>
  <c r="AE233" i="1"/>
  <c r="AE234" i="1"/>
  <c r="AE235" i="1"/>
  <c r="AE236" i="1"/>
  <c r="AE237" i="1"/>
  <c r="AE238" i="1"/>
  <c r="AE239" i="1"/>
  <c r="AE240" i="1"/>
  <c r="AE241" i="1"/>
  <c r="AE242" i="1"/>
  <c r="AE243" i="1"/>
  <c r="AE244" i="1"/>
  <c r="AE245" i="1"/>
  <c r="AE246" i="1"/>
  <c r="AE247" i="1"/>
  <c r="AE248" i="1"/>
  <c r="AE249" i="1"/>
  <c r="AE250" i="1"/>
  <c r="AE251" i="1"/>
  <c r="AE252" i="1"/>
  <c r="AE253" i="1"/>
  <c r="AE254" i="1"/>
  <c r="AE2" i="1"/>
  <c r="AI3" i="1"/>
  <c r="AI4" i="1"/>
  <c r="AI5" i="1"/>
  <c r="AI6" i="1"/>
  <c r="AI7" i="1"/>
  <c r="AI8" i="1"/>
  <c r="AI9" i="1"/>
  <c r="AI10" i="1"/>
  <c r="AI11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6" i="1"/>
  <c r="AI87" i="1"/>
  <c r="AI88" i="1"/>
  <c r="AI89" i="1"/>
  <c r="AI90" i="1"/>
  <c r="AI91" i="1"/>
  <c r="AI92" i="1"/>
  <c r="AI93" i="1"/>
  <c r="AI94" i="1"/>
  <c r="AI95" i="1"/>
  <c r="AI96" i="1"/>
  <c r="AI97" i="1"/>
  <c r="AI98" i="1"/>
  <c r="AI99" i="1"/>
  <c r="AI100" i="1"/>
  <c r="AI101" i="1"/>
  <c r="AI102" i="1"/>
  <c r="AI103" i="1"/>
  <c r="AI104" i="1"/>
  <c r="AI105" i="1"/>
  <c r="AI106" i="1"/>
  <c r="AI107" i="1"/>
  <c r="AI108" i="1"/>
  <c r="AI109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" i="1"/>
  <c r="AH3" i="1"/>
  <c r="AH4" i="1"/>
  <c r="AH5" i="1"/>
  <c r="AH6" i="1"/>
  <c r="AH7" i="1"/>
  <c r="AH8" i="1"/>
  <c r="AH9" i="1"/>
  <c r="AH10" i="1"/>
  <c r="AH11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" i="1"/>
  <c r="AF3" i="1"/>
  <c r="AF4" i="1"/>
  <c r="AF5" i="1"/>
  <c r="AF6" i="1"/>
  <c r="AF7" i="1"/>
  <c r="AF8" i="1"/>
  <c r="AF9" i="1"/>
  <c r="AF10" i="1"/>
  <c r="AF11" i="1"/>
  <c r="AF13" i="1"/>
  <c r="AF14" i="1"/>
  <c r="AF15" i="1"/>
  <c r="AF16" i="1"/>
  <c r="AF17" i="1"/>
  <c r="AF18" i="1"/>
  <c r="AF19" i="1"/>
  <c r="AF20" i="1"/>
  <c r="AF21" i="1"/>
  <c r="AF22" i="1"/>
  <c r="AF23" i="1"/>
  <c r="AF24" i="1"/>
  <c r="AF25" i="1"/>
  <c r="AF26" i="1"/>
  <c r="AF27" i="1"/>
  <c r="AF28" i="1"/>
  <c r="AF30" i="1"/>
  <c r="AF31" i="1"/>
  <c r="AF32" i="1"/>
  <c r="AF33" i="1"/>
  <c r="AF34" i="1"/>
  <c r="AF35" i="1"/>
  <c r="AF36" i="1"/>
  <c r="AF37" i="1"/>
  <c r="AF38" i="1"/>
  <c r="AF39" i="1"/>
  <c r="AF40" i="1"/>
  <c r="AF41" i="1"/>
  <c r="AF42" i="1"/>
  <c r="AF43" i="1"/>
  <c r="AF44" i="1"/>
  <c r="AF45" i="1"/>
  <c r="AF46" i="1"/>
  <c r="AF47" i="1"/>
  <c r="AF48" i="1"/>
  <c r="AF49" i="1"/>
  <c r="AF50" i="1"/>
  <c r="AF51" i="1"/>
  <c r="AF52" i="1"/>
  <c r="AF53" i="1"/>
  <c r="AF54" i="1"/>
  <c r="AF55" i="1"/>
  <c r="AF56" i="1"/>
  <c r="AF57" i="1"/>
  <c r="AF58" i="1"/>
  <c r="AF59" i="1"/>
  <c r="AF60" i="1"/>
  <c r="AF61" i="1"/>
  <c r="AF62" i="1"/>
  <c r="AF63" i="1"/>
  <c r="AF64" i="1"/>
  <c r="AF65" i="1"/>
  <c r="AF66" i="1"/>
  <c r="AF67" i="1"/>
  <c r="AF68" i="1"/>
  <c r="AF69" i="1"/>
  <c r="AF70" i="1"/>
  <c r="AF71" i="1"/>
  <c r="AF72" i="1"/>
  <c r="AF73" i="1"/>
  <c r="AF74" i="1"/>
  <c r="AF75" i="1"/>
  <c r="AF76" i="1"/>
  <c r="AF77" i="1"/>
  <c r="AF78" i="1"/>
  <c r="AF79" i="1"/>
  <c r="AF80" i="1"/>
  <c r="AF81" i="1"/>
  <c r="AF82" i="1"/>
  <c r="AF83" i="1"/>
  <c r="AF84" i="1"/>
  <c r="AF85" i="1"/>
  <c r="AF86" i="1"/>
  <c r="AF87" i="1"/>
  <c r="AF88" i="1"/>
  <c r="AF89" i="1"/>
  <c r="AF90" i="1"/>
  <c r="AF91" i="1"/>
  <c r="AF92" i="1"/>
  <c r="AF93" i="1"/>
  <c r="AF94" i="1"/>
  <c r="AF95" i="1"/>
  <c r="AF96" i="1"/>
  <c r="AF97" i="1"/>
  <c r="AF98" i="1"/>
  <c r="AF99" i="1"/>
  <c r="AF100" i="1"/>
  <c r="AF101" i="1"/>
  <c r="AF102" i="1"/>
  <c r="AF103" i="1"/>
  <c r="AF104" i="1"/>
  <c r="AF105" i="1"/>
  <c r="AF106" i="1"/>
  <c r="AF107" i="1"/>
  <c r="AF108" i="1"/>
  <c r="AF109" i="1"/>
  <c r="AF110" i="1"/>
  <c r="AF111" i="1"/>
  <c r="AF112" i="1"/>
  <c r="AF113" i="1"/>
  <c r="AF114" i="1"/>
  <c r="AF115" i="1"/>
  <c r="AF116" i="1"/>
  <c r="AF117" i="1"/>
  <c r="AF118" i="1"/>
  <c r="AF119" i="1"/>
  <c r="AF120" i="1"/>
  <c r="AF121" i="1"/>
  <c r="AF122" i="1"/>
  <c r="AF123" i="1"/>
  <c r="AF124" i="1"/>
  <c r="AF125" i="1"/>
  <c r="AF126" i="1"/>
  <c r="AF127" i="1"/>
  <c r="AF128" i="1"/>
  <c r="AF129" i="1"/>
  <c r="AF131" i="1"/>
  <c r="AF132" i="1"/>
  <c r="AF133" i="1"/>
  <c r="AF134" i="1"/>
  <c r="AF135" i="1"/>
  <c r="AF136" i="1"/>
  <c r="AF137" i="1"/>
  <c r="AF138" i="1"/>
  <c r="AF139" i="1"/>
  <c r="AF140" i="1"/>
  <c r="AF141" i="1"/>
  <c r="AF142" i="1"/>
  <c r="AF143" i="1"/>
  <c r="AF144" i="1"/>
  <c r="AF145" i="1"/>
  <c r="AF146" i="1"/>
  <c r="AF147" i="1"/>
  <c r="AF148" i="1"/>
  <c r="AF149" i="1"/>
  <c r="AF150" i="1"/>
  <c r="AF151" i="1"/>
  <c r="AF152" i="1"/>
  <c r="AF153" i="1"/>
  <c r="AF154" i="1"/>
  <c r="AF155" i="1"/>
  <c r="AF156" i="1"/>
  <c r="AF157" i="1"/>
  <c r="AF158" i="1"/>
  <c r="AF159" i="1"/>
  <c r="AF160" i="1"/>
  <c r="AF161" i="1"/>
  <c r="AF162" i="1"/>
  <c r="AF163" i="1"/>
  <c r="AF164" i="1"/>
  <c r="AF165" i="1"/>
  <c r="AF166" i="1"/>
  <c r="AF167" i="1"/>
  <c r="AF168" i="1"/>
  <c r="AF169" i="1"/>
  <c r="AF170" i="1"/>
  <c r="AF171" i="1"/>
  <c r="AF172" i="1"/>
  <c r="AF173" i="1"/>
  <c r="AF174" i="1"/>
  <c r="AF175" i="1"/>
  <c r="AF176" i="1"/>
  <c r="AF177" i="1"/>
  <c r="AF178" i="1"/>
  <c r="AF179" i="1"/>
  <c r="AF180" i="1"/>
  <c r="AF181" i="1"/>
  <c r="AF182" i="1"/>
  <c r="AF183" i="1"/>
  <c r="AF184" i="1"/>
  <c r="AF185" i="1"/>
  <c r="AF186" i="1"/>
  <c r="AF187" i="1"/>
  <c r="AF188" i="1"/>
  <c r="AF189" i="1"/>
  <c r="AF190" i="1"/>
  <c r="AF191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2" i="1"/>
  <c r="AF213" i="1"/>
  <c r="AF214" i="1"/>
  <c r="AF215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39" i="1"/>
  <c r="AF240" i="1"/>
  <c r="AF241" i="1"/>
  <c r="AF242" i="1"/>
  <c r="AF243" i="1"/>
  <c r="AF244" i="1"/>
  <c r="AF245" i="1"/>
  <c r="AF246" i="1"/>
  <c r="AF247" i="1"/>
  <c r="AF248" i="1"/>
  <c r="AF249" i="1"/>
  <c r="AF250" i="1"/>
  <c r="AF251" i="1"/>
  <c r="AF252" i="1"/>
  <c r="AF253" i="1"/>
  <c r="AF254" i="1"/>
  <c r="AF2" i="1"/>
  <c r="AC3" i="1"/>
  <c r="AC4" i="1"/>
  <c r="AC5" i="1"/>
  <c r="AC6" i="1"/>
  <c r="AC7" i="1"/>
  <c r="AC8" i="1"/>
  <c r="AC9" i="1"/>
  <c r="AC10" i="1"/>
  <c r="AC11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09" i="1"/>
  <c r="AC110" i="1"/>
  <c r="AC111" i="1"/>
  <c r="AC112" i="1"/>
  <c r="AC113" i="1"/>
  <c r="AC114" i="1"/>
  <c r="AC115" i="1"/>
  <c r="AC116" i="1"/>
  <c r="AC117" i="1"/>
  <c r="AC118" i="1"/>
  <c r="AC119" i="1"/>
  <c r="AC120" i="1"/>
  <c r="AC121" i="1"/>
  <c r="AC122" i="1"/>
  <c r="AC123" i="1"/>
  <c r="AC124" i="1"/>
  <c r="AC125" i="1"/>
  <c r="AC126" i="1"/>
  <c r="AC127" i="1"/>
  <c r="AC128" i="1"/>
  <c r="AC129" i="1"/>
  <c r="AC131" i="1"/>
  <c r="AC132" i="1"/>
  <c r="AC133" i="1"/>
  <c r="AC134" i="1"/>
  <c r="AC135" i="1"/>
  <c r="AC136" i="1"/>
  <c r="AC137" i="1"/>
  <c r="AC138" i="1"/>
  <c r="AC139" i="1"/>
  <c r="AC140" i="1"/>
  <c r="AC141" i="1"/>
  <c r="AC142" i="1"/>
  <c r="AC143" i="1"/>
  <c r="AC144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0" i="1"/>
  <c r="AC161" i="1"/>
  <c r="AC162" i="1"/>
  <c r="AC163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244" i="1"/>
  <c r="AC245" i="1"/>
  <c r="AC246" i="1"/>
  <c r="AC247" i="1"/>
  <c r="AC248" i="1"/>
  <c r="AC249" i="1"/>
  <c r="AC250" i="1"/>
  <c r="AC251" i="1"/>
  <c r="AC252" i="1"/>
  <c r="AC253" i="1"/>
  <c r="AC254" i="1"/>
  <c r="AB3" i="1"/>
  <c r="AB4" i="1"/>
  <c r="AB5" i="1"/>
  <c r="AB6" i="1"/>
  <c r="AB7" i="1"/>
  <c r="AB8" i="1"/>
  <c r="AB9" i="1"/>
  <c r="AB10" i="1"/>
  <c r="AB11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" i="1"/>
  <c r="AA2" i="1"/>
  <c r="AA3" i="1"/>
  <c r="AA4" i="1"/>
  <c r="AA5" i="1"/>
  <c r="AA6" i="1"/>
  <c r="AA7" i="1"/>
  <c r="AA8" i="1"/>
  <c r="AA9" i="1"/>
  <c r="AA10" i="1"/>
  <c r="AA11" i="1"/>
  <c r="AA13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D3" i="1"/>
  <c r="AD4" i="1"/>
  <c r="AD5" i="1"/>
  <c r="AD6" i="1"/>
  <c r="AD7" i="1"/>
  <c r="AD8" i="1"/>
  <c r="AD10" i="1"/>
  <c r="AD11" i="1"/>
  <c r="AD13" i="1"/>
  <c r="AD14" i="1"/>
  <c r="AD15" i="1"/>
  <c r="AD16" i="1"/>
  <c r="AD17" i="1"/>
  <c r="AD18" i="1"/>
  <c r="AD19" i="1"/>
  <c r="AD20" i="1"/>
  <c r="AD21" i="1"/>
  <c r="AD22" i="1"/>
  <c r="AD23" i="1"/>
  <c r="AD24" i="1"/>
  <c r="AD25" i="1"/>
  <c r="AD26" i="1"/>
  <c r="AD27" i="1"/>
  <c r="AD28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4" i="1"/>
  <c r="AD45" i="1"/>
  <c r="AD46" i="1"/>
  <c r="AD47" i="1"/>
  <c r="AD48" i="1"/>
  <c r="AD49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AD113" i="1"/>
  <c r="AD114" i="1"/>
  <c r="AD115" i="1"/>
  <c r="AD116" i="1"/>
  <c r="AD117" i="1"/>
  <c r="AD118" i="1"/>
  <c r="AD119" i="1"/>
  <c r="AD120" i="1"/>
  <c r="AD121" i="1"/>
  <c r="AD122" i="1"/>
  <c r="AD123" i="1"/>
  <c r="AD124" i="1"/>
  <c r="AD125" i="1"/>
  <c r="AD126" i="1"/>
  <c r="AD127" i="1"/>
  <c r="AD128" i="1"/>
  <c r="AD129" i="1"/>
  <c r="AD131" i="1"/>
  <c r="AD132" i="1"/>
  <c r="AD133" i="1"/>
  <c r="AD134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58" i="1"/>
  <c r="AD159" i="1"/>
  <c r="AD160" i="1"/>
  <c r="AD161" i="1"/>
  <c r="AD162" i="1"/>
  <c r="AD163" i="1"/>
  <c r="AD164" i="1"/>
  <c r="AD165" i="1"/>
  <c r="AD166" i="1"/>
  <c r="AD167" i="1"/>
  <c r="AD168" i="1"/>
  <c r="AD169" i="1"/>
  <c r="AD170" i="1"/>
  <c r="AD171" i="1"/>
  <c r="AD172" i="1"/>
  <c r="AD173" i="1"/>
  <c r="AD174" i="1"/>
  <c r="AD175" i="1"/>
  <c r="AD176" i="1"/>
  <c r="AD177" i="1"/>
  <c r="AD178" i="1"/>
  <c r="AD179" i="1"/>
  <c r="AD180" i="1"/>
  <c r="AD181" i="1"/>
  <c r="AD182" i="1"/>
  <c r="AD183" i="1"/>
  <c r="AD184" i="1"/>
  <c r="AD185" i="1"/>
  <c r="AD186" i="1"/>
  <c r="AD187" i="1"/>
  <c r="AD188" i="1"/>
  <c r="AD189" i="1"/>
  <c r="AD190" i="1"/>
  <c r="AD191" i="1"/>
  <c r="AD192" i="1"/>
  <c r="AD193" i="1"/>
  <c r="AD194" i="1"/>
  <c r="AD195" i="1"/>
  <c r="AD196" i="1"/>
  <c r="AD197" i="1"/>
  <c r="AD198" i="1"/>
  <c r="AD199" i="1"/>
  <c r="AD200" i="1"/>
  <c r="AD201" i="1"/>
  <c r="AD202" i="1"/>
  <c r="AD203" i="1"/>
  <c r="AD204" i="1"/>
  <c r="AD205" i="1"/>
  <c r="AD206" i="1"/>
  <c r="AD207" i="1"/>
  <c r="AD208" i="1"/>
  <c r="AD209" i="1"/>
  <c r="AD210" i="1"/>
  <c r="AD211" i="1"/>
  <c r="AD212" i="1"/>
  <c r="AD213" i="1"/>
  <c r="AD214" i="1"/>
  <c r="AD215" i="1"/>
  <c r="AD216" i="1"/>
  <c r="AD217" i="1"/>
  <c r="AD218" i="1"/>
  <c r="AD219" i="1"/>
  <c r="AD220" i="1"/>
  <c r="AD221" i="1"/>
  <c r="AD222" i="1"/>
  <c r="AD223" i="1"/>
  <c r="AD224" i="1"/>
  <c r="AD225" i="1"/>
  <c r="AD226" i="1"/>
  <c r="AD227" i="1"/>
  <c r="AD228" i="1"/>
  <c r="AD229" i="1"/>
  <c r="AD230" i="1"/>
  <c r="AD231" i="1"/>
  <c r="AD232" i="1"/>
  <c r="AD233" i="1"/>
  <c r="AD234" i="1"/>
  <c r="AD235" i="1"/>
  <c r="AD236" i="1"/>
  <c r="AD237" i="1"/>
  <c r="AD238" i="1"/>
  <c r="AD239" i="1"/>
  <c r="AD240" i="1"/>
  <c r="AD241" i="1"/>
  <c r="AD242" i="1"/>
  <c r="AD243" i="1"/>
  <c r="AD244" i="1"/>
  <c r="AD245" i="1"/>
  <c r="AD246" i="1"/>
  <c r="AD247" i="1"/>
  <c r="AD248" i="1"/>
  <c r="AD249" i="1"/>
  <c r="AD250" i="1"/>
  <c r="AD251" i="1"/>
  <c r="AD252" i="1"/>
  <c r="AD253" i="1"/>
  <c r="AD254" i="1"/>
  <c r="AD2" i="1"/>
  <c r="Z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16" i="1"/>
  <c r="X17" i="1"/>
  <c r="X18" i="1"/>
  <c r="X19" i="1"/>
  <c r="X20" i="1"/>
  <c r="X21" i="1"/>
  <c r="X22" i="1"/>
  <c r="X23" i="1"/>
  <c r="X24" i="1"/>
  <c r="X25" i="1"/>
  <c r="X26" i="1"/>
  <c r="X27" i="1"/>
  <c r="X28" i="1"/>
  <c r="X29" i="1"/>
  <c r="X30" i="1"/>
  <c r="X31" i="1"/>
  <c r="X32" i="1"/>
  <c r="X33" i="1"/>
  <c r="X34" i="1"/>
  <c r="X35" i="1"/>
  <c r="X36" i="1"/>
  <c r="X37" i="1"/>
  <c r="X38" i="1"/>
  <c r="X39" i="1"/>
  <c r="X40" i="1"/>
  <c r="X41" i="1"/>
  <c r="X42" i="1"/>
  <c r="X43" i="1"/>
  <c r="X44" i="1"/>
  <c r="X45" i="1"/>
  <c r="X46" i="1"/>
  <c r="X47" i="1"/>
  <c r="X48" i="1"/>
  <c r="X49" i="1"/>
  <c r="X50" i="1"/>
  <c r="X51" i="1"/>
  <c r="X52" i="1"/>
  <c r="X53" i="1"/>
  <c r="X54" i="1"/>
  <c r="X55" i="1"/>
  <c r="X56" i="1"/>
  <c r="X57" i="1"/>
  <c r="X58" i="1"/>
  <c r="X59" i="1"/>
  <c r="X60" i="1"/>
  <c r="X61" i="1"/>
  <c r="X62" i="1"/>
  <c r="X63" i="1"/>
  <c r="X64" i="1"/>
  <c r="X65" i="1"/>
  <c r="X66" i="1"/>
  <c r="X67" i="1"/>
  <c r="X68" i="1"/>
  <c r="X69" i="1"/>
  <c r="X70" i="1"/>
  <c r="X71" i="1"/>
  <c r="X72" i="1"/>
  <c r="X73" i="1"/>
  <c r="X74" i="1"/>
  <c r="X75" i="1"/>
  <c r="X76" i="1"/>
  <c r="X77" i="1"/>
  <c r="X78" i="1"/>
  <c r="X79" i="1"/>
  <c r="X80" i="1"/>
  <c r="X81" i="1"/>
  <c r="X82" i="1"/>
  <c r="X83" i="1"/>
  <c r="X84" i="1"/>
  <c r="X85" i="1"/>
  <c r="X86" i="1"/>
  <c r="X87" i="1"/>
  <c r="X88" i="1"/>
  <c r="X89" i="1"/>
  <c r="X90" i="1"/>
  <c r="X91" i="1"/>
  <c r="X92" i="1"/>
  <c r="X93" i="1"/>
  <c r="X94" i="1"/>
  <c r="X95" i="1"/>
  <c r="X96" i="1"/>
  <c r="X97" i="1"/>
  <c r="X98" i="1"/>
  <c r="X99" i="1"/>
  <c r="X100" i="1"/>
  <c r="X101" i="1"/>
  <c r="X102" i="1"/>
  <c r="X103" i="1"/>
  <c r="X104" i="1"/>
  <c r="X105" i="1"/>
  <c r="X106" i="1"/>
  <c r="X107" i="1"/>
  <c r="X108" i="1"/>
  <c r="X109" i="1"/>
  <c r="X110" i="1"/>
  <c r="X111" i="1"/>
  <c r="X112" i="1"/>
  <c r="X113" i="1"/>
  <c r="X114" i="1"/>
  <c r="X115" i="1"/>
  <c r="X116" i="1"/>
  <c r="X117" i="1"/>
  <c r="X118" i="1"/>
  <c r="X119" i="1"/>
  <c r="X120" i="1"/>
  <c r="X121" i="1"/>
  <c r="X122" i="1"/>
  <c r="X123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136" i="1"/>
  <c r="X137" i="1"/>
  <c r="X138" i="1"/>
  <c r="X139" i="1"/>
  <c r="X140" i="1"/>
  <c r="X141" i="1"/>
  <c r="X142" i="1"/>
  <c r="X143" i="1"/>
  <c r="X144" i="1"/>
  <c r="X145" i="1"/>
  <c r="X146" i="1"/>
  <c r="X147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163" i="1"/>
  <c r="X164" i="1"/>
  <c r="X165" i="1"/>
  <c r="X166" i="1"/>
  <c r="X167" i="1"/>
  <c r="X168" i="1"/>
  <c r="X169" i="1"/>
  <c r="X170" i="1"/>
  <c r="X171" i="1"/>
  <c r="X172" i="1"/>
  <c r="X173" i="1"/>
  <c r="X174" i="1"/>
  <c r="X175" i="1"/>
  <c r="X176" i="1"/>
  <c r="X177" i="1"/>
  <c r="X178" i="1"/>
  <c r="X179" i="1"/>
  <c r="X180" i="1"/>
  <c r="X181" i="1"/>
  <c r="X182" i="1"/>
  <c r="X183" i="1"/>
  <c r="X184" i="1"/>
  <c r="X185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201" i="1"/>
  <c r="X202" i="1"/>
  <c r="X203" i="1"/>
  <c r="X204" i="1"/>
  <c r="X205" i="1"/>
  <c r="X206" i="1"/>
  <c r="X207" i="1"/>
  <c r="X208" i="1"/>
  <c r="X209" i="1"/>
  <c r="X210" i="1"/>
  <c r="X211" i="1"/>
  <c r="X212" i="1"/>
  <c r="X213" i="1"/>
  <c r="X214" i="1"/>
  <c r="X215" i="1"/>
  <c r="X216" i="1"/>
  <c r="X217" i="1"/>
  <c r="X218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232" i="1"/>
  <c r="X233" i="1"/>
  <c r="X234" i="1"/>
  <c r="X235" i="1"/>
  <c r="X236" i="1"/>
  <c r="X237" i="1"/>
  <c r="X238" i="1"/>
  <c r="X239" i="1"/>
  <c r="X240" i="1"/>
  <c r="X241" i="1"/>
  <c r="X242" i="1"/>
  <c r="X243" i="1"/>
  <c r="X244" i="1"/>
  <c r="X245" i="1"/>
  <c r="X246" i="1"/>
  <c r="X247" i="1"/>
  <c r="X248" i="1"/>
  <c r="X249" i="1"/>
  <c r="X250" i="1"/>
  <c r="X251" i="1"/>
  <c r="X252" i="1"/>
  <c r="X253" i="1"/>
  <c r="X254" i="1"/>
  <c r="X2" i="1"/>
  <c r="W3" i="1"/>
  <c r="W4" i="1"/>
  <c r="W5" i="1"/>
  <c r="W6" i="1"/>
  <c r="W7" i="1"/>
  <c r="W8" i="1"/>
  <c r="W9" i="1"/>
  <c r="W10" i="1"/>
  <c r="W11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74" i="1"/>
  <c r="W75" i="1"/>
  <c r="W76" i="1"/>
  <c r="W77" i="1"/>
  <c r="W78" i="1"/>
  <c r="W79" i="1"/>
  <c r="W80" i="1"/>
  <c r="W81" i="1"/>
  <c r="W82" i="1"/>
  <c r="W83" i="1"/>
  <c r="W84" i="1"/>
  <c r="W85" i="1"/>
  <c r="W86" i="1"/>
  <c r="W87" i="1"/>
  <c r="W88" i="1"/>
  <c r="W89" i="1"/>
  <c r="W90" i="1"/>
  <c r="W91" i="1"/>
  <c r="W92" i="1"/>
  <c r="W93" i="1"/>
  <c r="W94" i="1"/>
  <c r="W95" i="1"/>
  <c r="W96" i="1"/>
  <c r="W97" i="1"/>
  <c r="W98" i="1"/>
  <c r="W99" i="1"/>
  <c r="W100" i="1"/>
  <c r="W101" i="1"/>
  <c r="W102" i="1"/>
  <c r="W103" i="1"/>
  <c r="W104" i="1"/>
  <c r="W105" i="1"/>
  <c r="W106" i="1"/>
  <c r="W107" i="1"/>
  <c r="W108" i="1"/>
  <c r="W109" i="1"/>
  <c r="W110" i="1"/>
  <c r="W111" i="1"/>
  <c r="W112" i="1"/>
  <c r="W113" i="1"/>
  <c r="W114" i="1"/>
  <c r="W115" i="1"/>
  <c r="W116" i="1"/>
  <c r="W117" i="1"/>
  <c r="W118" i="1"/>
  <c r="W119" i="1"/>
  <c r="W120" i="1"/>
  <c r="W121" i="1"/>
  <c r="W122" i="1"/>
  <c r="W123" i="1"/>
  <c r="W124" i="1"/>
  <c r="W125" i="1"/>
  <c r="W126" i="1"/>
  <c r="W127" i="1"/>
  <c r="W128" i="1"/>
  <c r="W129" i="1"/>
  <c r="W131" i="1"/>
  <c r="W132" i="1"/>
  <c r="W133" i="1"/>
  <c r="W134" i="1"/>
  <c r="W135" i="1"/>
  <c r="W136" i="1"/>
  <c r="W137" i="1"/>
  <c r="W138" i="1"/>
  <c r="W139" i="1"/>
  <c r="W140" i="1"/>
  <c r="W141" i="1"/>
  <c r="W142" i="1"/>
  <c r="W143" i="1"/>
  <c r="W144" i="1"/>
  <c r="W145" i="1"/>
  <c r="W146" i="1"/>
  <c r="W147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163" i="1"/>
  <c r="W164" i="1"/>
  <c r="W165" i="1"/>
  <c r="W166" i="1"/>
  <c r="W167" i="1"/>
  <c r="W168" i="1"/>
  <c r="W169" i="1"/>
  <c r="W170" i="1"/>
  <c r="W171" i="1"/>
  <c r="W172" i="1"/>
  <c r="W173" i="1"/>
  <c r="W174" i="1"/>
  <c r="W175" i="1"/>
  <c r="W176" i="1"/>
  <c r="W177" i="1"/>
  <c r="W178" i="1"/>
  <c r="W179" i="1"/>
  <c r="W180" i="1"/>
  <c r="W181" i="1"/>
  <c r="W182" i="1"/>
  <c r="W183" i="1"/>
  <c r="W184" i="1"/>
  <c r="W185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201" i="1"/>
  <c r="W202" i="1"/>
  <c r="W203" i="1"/>
  <c r="W204" i="1"/>
  <c r="W205" i="1"/>
  <c r="W206" i="1"/>
  <c r="W207" i="1"/>
  <c r="W208" i="1"/>
  <c r="W209" i="1"/>
  <c r="W210" i="1"/>
  <c r="W211" i="1"/>
  <c r="W212" i="1"/>
  <c r="W213" i="1"/>
  <c r="W214" i="1"/>
  <c r="W215" i="1"/>
  <c r="W216" i="1"/>
  <c r="W217" i="1"/>
  <c r="W218" i="1"/>
  <c r="W219" i="1"/>
  <c r="W220" i="1"/>
  <c r="W221" i="1"/>
  <c r="W222" i="1"/>
  <c r="W223" i="1"/>
  <c r="W224" i="1"/>
  <c r="W225" i="1"/>
  <c r="W226" i="1"/>
  <c r="W227" i="1"/>
  <c r="W228" i="1"/>
  <c r="W229" i="1"/>
  <c r="W230" i="1"/>
  <c r="W231" i="1"/>
  <c r="W232" i="1"/>
  <c r="W233" i="1"/>
  <c r="W234" i="1"/>
  <c r="W235" i="1"/>
  <c r="W236" i="1"/>
  <c r="W237" i="1"/>
  <c r="W238" i="1"/>
  <c r="W239" i="1"/>
  <c r="W240" i="1"/>
  <c r="W241" i="1"/>
  <c r="W242" i="1"/>
  <c r="W243" i="1"/>
  <c r="W244" i="1"/>
  <c r="W245" i="1"/>
  <c r="W246" i="1"/>
  <c r="W247" i="1"/>
  <c r="W248" i="1"/>
  <c r="W249" i="1"/>
  <c r="W250" i="1"/>
  <c r="W251" i="1"/>
  <c r="W252" i="1"/>
  <c r="W253" i="1"/>
  <c r="W254" i="1"/>
  <c r="W2" i="1"/>
  <c r="R130" i="1"/>
  <c r="W130" i="1" s="1"/>
  <c r="R29" i="1"/>
  <c r="AD29" i="1" s="1"/>
  <c r="R12" i="1"/>
  <c r="W12" i="1" s="1"/>
  <c r="AL29" i="1" l="1"/>
  <c r="AL12" i="1"/>
  <c r="AL130" i="1"/>
  <c r="AM12" i="1"/>
  <c r="AM130" i="1"/>
  <c r="AM29" i="1"/>
  <c r="AN12" i="1"/>
  <c r="AN130" i="1"/>
  <c r="AN29" i="1"/>
  <c r="Z130" i="1"/>
  <c r="Z12" i="1"/>
  <c r="Z29" i="1"/>
  <c r="AG12" i="1"/>
  <c r="AG130" i="1"/>
  <c r="AG29" i="1"/>
  <c r="AK12" i="1"/>
  <c r="AK130" i="1"/>
  <c r="AK29" i="1"/>
  <c r="AJ12" i="1"/>
  <c r="AJ130" i="1"/>
  <c r="AJ29" i="1"/>
  <c r="AE12" i="1"/>
  <c r="AI12" i="1"/>
  <c r="AH12" i="1"/>
  <c r="AE29" i="1"/>
  <c r="AE130" i="1"/>
  <c r="AF130" i="1"/>
  <c r="AH130" i="1"/>
  <c r="AI130" i="1"/>
  <c r="AF29" i="1"/>
  <c r="AI29" i="1"/>
  <c r="AH29" i="1"/>
  <c r="AF12" i="1"/>
  <c r="AC12" i="1"/>
  <c r="AC130" i="1"/>
  <c r="AC29" i="1"/>
  <c r="AB130" i="1"/>
  <c r="AB12" i="1"/>
  <c r="AB29" i="1"/>
  <c r="AA12" i="1"/>
  <c r="AA130" i="1"/>
  <c r="AA29" i="1"/>
  <c r="AD130" i="1"/>
  <c r="AD12" i="1"/>
  <c r="W29" i="1"/>
  <c r="D144" i="1" l="1"/>
  <c r="D168" i="1"/>
  <c r="D151" i="1"/>
  <c r="D143" i="1"/>
  <c r="D138" i="1"/>
  <c r="D137" i="1"/>
  <c r="D136" i="1"/>
  <c r="D135" i="1"/>
  <c r="D132" i="1"/>
  <c r="D131" i="1"/>
  <c r="D130" i="1"/>
  <c r="D129" i="1"/>
  <c r="D89" i="1"/>
</calcChain>
</file>

<file path=xl/sharedStrings.xml><?xml version="1.0" encoding="utf-8"?>
<sst xmlns="http://schemas.openxmlformats.org/spreadsheetml/2006/main" count="763" uniqueCount="397">
  <si>
    <t>FAB</t>
  </si>
  <si>
    <t>CLIENT</t>
  </si>
  <si>
    <t>NOM PRODUIT</t>
  </si>
  <si>
    <t>DATE COMMANDE</t>
  </si>
  <si>
    <t>DATE COMPLET MATIERE</t>
  </si>
  <si>
    <t>DATE FICHIER</t>
  </si>
  <si>
    <t>DATE IMPRESSION</t>
  </si>
  <si>
    <t>DATE CARTON</t>
  </si>
  <si>
    <t>WISMAR</t>
  </si>
  <si>
    <t>IVC</t>
  </si>
  <si>
    <t>NUANCIERS SAMPLEBOOK UDIREV</t>
  </si>
  <si>
    <t>NUANCERS BUILD PRO</t>
  </si>
  <si>
    <t>BUSHBOARD</t>
  </si>
  <si>
    <t>POLYFLOR</t>
  </si>
  <si>
    <t>NUANCIERS GEOTONE QUICKLAY</t>
  </si>
  <si>
    <t>PRESENTER SILENTFLOR</t>
  </si>
  <si>
    <t>DOUBLE SHADECARD SILENTFLOR</t>
  </si>
  <si>
    <t>GERFLOR</t>
  </si>
  <si>
    <t>CARTES LINO ART</t>
  </si>
  <si>
    <t>CARTES LIBERTEX</t>
  </si>
  <si>
    <t>TARKETT FR</t>
  </si>
  <si>
    <t>NUANCIERS ID CLICK ULTIMATE FR</t>
  </si>
  <si>
    <t>1000 FR</t>
  </si>
  <si>
    <t>3000 GB</t>
  </si>
  <si>
    <t>R-TEK MANUFACTURING</t>
  </si>
  <si>
    <t>NUANCIERS R-TILE</t>
  </si>
  <si>
    <t>NUANCIER CREATION 2025 - SOCCODA</t>
  </si>
  <si>
    <t>MALERBA</t>
  </si>
  <si>
    <t>LIASSES ELAN</t>
  </si>
  <si>
    <t>NUANCIERS CREATION DISTRIBUTION 2025 CROMOLOGY</t>
  </si>
  <si>
    <t>TAKETT DE</t>
  </si>
  <si>
    <t>NUANCIERS LINOLEUM DE</t>
  </si>
  <si>
    <t>ENNO ROGGEMANN</t>
  </si>
  <si>
    <t>LIASSES PRÜM</t>
  </si>
  <si>
    <t>BALSAN</t>
  </si>
  <si>
    <t>NUANCES</t>
  </si>
  <si>
    <t>PPG</t>
  </si>
  <si>
    <t>NUANCIERS MODUL RIGID 55 STUDIO</t>
  </si>
  <si>
    <t>PFLEIDERER</t>
  </si>
  <si>
    <t>WORKTOP</t>
  </si>
  <si>
    <t>SOLAYE</t>
  </si>
  <si>
    <t>EGGER FR</t>
  </si>
  <si>
    <t>NUANCIERS SOL IBERIA</t>
  </si>
  <si>
    <t>AMTICO UK</t>
  </si>
  <si>
    <t>MDLP</t>
  </si>
  <si>
    <t>DECOBAT II 
FT 500X330</t>
  </si>
  <si>
    <t>DECOBAT II 
FT 500X500</t>
  </si>
  <si>
    <t>DESIGN TILE</t>
  </si>
  <si>
    <t>MIPOLAM AFFINITY</t>
  </si>
  <si>
    <t>TLAY INITIAL FR</t>
  </si>
  <si>
    <t>TLAY INITIAL GB</t>
  </si>
  <si>
    <t>TARKETT SAS</t>
  </si>
  <si>
    <t>NUANCIERS CREATION 40&amp;55</t>
  </si>
  <si>
    <t>SOLISO</t>
  </si>
  <si>
    <t>CLASSEURS &amp; CARTES</t>
  </si>
  <si>
    <t>FORBO DE</t>
  </si>
  <si>
    <t>NUANCIERS KINGSPAN SAMPLE CARDS</t>
  </si>
  <si>
    <t>NUANCIERS  ITEC 319</t>
  </si>
  <si>
    <t>ARPA</t>
  </si>
  <si>
    <t>LIASSES TUET</t>
  </si>
  <si>
    <t>UNILIN</t>
  </si>
  <si>
    <t>FORM FOLDER</t>
  </si>
  <si>
    <t>TARKETT</t>
  </si>
  <si>
    <t>4000 INTER</t>
  </si>
  <si>
    <t>1500 FRENCH</t>
  </si>
  <si>
    <t>1000 ES</t>
  </si>
  <si>
    <t>400 IT</t>
  </si>
  <si>
    <t>500 UK</t>
  </si>
  <si>
    <t>3260 INTER</t>
  </si>
  <si>
    <t>600 DE</t>
  </si>
  <si>
    <t>500 ES</t>
  </si>
  <si>
    <t>500 IT</t>
  </si>
  <si>
    <t>440 UK/NORD</t>
  </si>
  <si>
    <t>MERMET</t>
  </si>
  <si>
    <t>JEUX ECHANTILLONS SUR CINTRES</t>
  </si>
  <si>
    <t>CARTES CREATION PPG</t>
  </si>
  <si>
    <t>PARIS PORTES</t>
  </si>
  <si>
    <t>ARTEPY</t>
  </si>
  <si>
    <t>BOX</t>
  </si>
  <si>
    <t>CREA 55 MIDDLE EST</t>
  </si>
  <si>
    <t>POLYREY</t>
  </si>
  <si>
    <t>UNILIN PANELS</t>
  </si>
  <si>
    <t xml:space="preserve">JEUX ECHANTILLONS HPL 30REF. </t>
  </si>
  <si>
    <t>DICA</t>
  </si>
  <si>
    <t>NUANCIERS STRATFIES &amp; COMPACT HPL</t>
  </si>
  <si>
    <t>AGIR</t>
  </si>
  <si>
    <t>NUANCIERS B-RIGID 55</t>
  </si>
  <si>
    <t>SOBOPLAC</t>
  </si>
  <si>
    <t>LIASSES INTENDANCES</t>
  </si>
  <si>
    <t>NUANCIERS LOGITEX ULTRA / ULTILATE 55</t>
  </si>
  <si>
    <t>JEUX DISPLAYS CREATION 2025</t>
  </si>
  <si>
    <t>UDIREV</t>
  </si>
  <si>
    <t>LIBERTY ROCK 40</t>
  </si>
  <si>
    <t>SOCODA</t>
  </si>
  <si>
    <t>COLL PP RESIDENCE</t>
  </si>
  <si>
    <t>COLL PP SWING</t>
  </si>
  <si>
    <t>DECOUPE 1 REF</t>
  </si>
  <si>
    <t>ADFORS</t>
  </si>
  <si>
    <t>AKZO</t>
  </si>
  <si>
    <t>CARUS</t>
  </si>
  <si>
    <t>DESERT</t>
  </si>
  <si>
    <t>GRIFFINE</t>
  </si>
  <si>
    <t>PONANT</t>
  </si>
  <si>
    <t>CARTES SATINE 5501</t>
  </si>
  <si>
    <t>SELECTEURS MERMET MEMBERS</t>
  </si>
  <si>
    <t>DUMAPLAST</t>
  </si>
  <si>
    <t>NUANCIERS INSPIRO</t>
  </si>
  <si>
    <t>LMS</t>
  </si>
  <si>
    <t>NUANCIERS SOLATECH 33/43 CF</t>
  </si>
  <si>
    <t>CARTES DURALEX 4500 QM 5%</t>
  </si>
  <si>
    <t>NUANCIERS SOUS COUCHE</t>
  </si>
  <si>
    <t>OBERFLEX</t>
  </si>
  <si>
    <t>NUANCIERS ESSENCE FINE</t>
  </si>
  <si>
    <t>STOCKFILMS UK</t>
  </si>
  <si>
    <t>CLASEURS OPALUX SWATCH FOLDER 2025</t>
  </si>
  <si>
    <t>NUANCIER ARMONIA 520/620</t>
  </si>
  <si>
    <t>NUANCIER URBAN LIVING 30</t>
  </si>
  <si>
    <t>NUANCIER ISAFE</t>
  </si>
  <si>
    <t>NUANCIER CENTRA</t>
  </si>
  <si>
    <t>NUANCIER BATIMAX</t>
  </si>
  <si>
    <t>MAISON DE LA PEINTURE</t>
  </si>
  <si>
    <t>NUANCIER B-RIGID 55 NEO</t>
  </si>
  <si>
    <t>NUANCIER KENNEDY TEMPO</t>
  </si>
  <si>
    <t>SWISSKRONO</t>
  </si>
  <si>
    <t>LIASSES TROPFENFACHER</t>
  </si>
  <si>
    <t>NUANCIER MIPOLAM SYMBIOZ GB</t>
  </si>
  <si>
    <t>QUANTITE</t>
  </si>
  <si>
    <t>TYPE NUANCIER</t>
  </si>
  <si>
    <t>LIASSE</t>
  </si>
  <si>
    <t>WETWALL OMEGA</t>
  </si>
  <si>
    <t>WETWALL OPTION</t>
  </si>
  <si>
    <t>WETWALL NUANCES</t>
  </si>
  <si>
    <t>WETWALL</t>
  </si>
  <si>
    <t>COUV + RABAT</t>
  </si>
  <si>
    <t>5VR</t>
  </si>
  <si>
    <t>1VP</t>
  </si>
  <si>
    <t>4VR</t>
  </si>
  <si>
    <t>LIASSE HPL</t>
  </si>
  <si>
    <t xml:space="preserve">PROGRMME TARAFLEX FR </t>
  </si>
  <si>
    <t>PROGRMME TARAFLEX GB</t>
  </si>
  <si>
    <t>6VR</t>
  </si>
  <si>
    <t>NUANCIERS FULL CREATION DE</t>
  </si>
  <si>
    <t>NUANCIERS FULL CREATION FR</t>
  </si>
  <si>
    <t>NUANCIERS FULL CREATION GB</t>
  </si>
  <si>
    <t>NUANCIERS CREATION 70 FR</t>
  </si>
  <si>
    <t>NUANCIERS CREATION 70 GB/DE</t>
  </si>
  <si>
    <t>CESAR</t>
  </si>
  <si>
    <t>LEON</t>
  </si>
  <si>
    <t>DARIUS</t>
  </si>
  <si>
    <t>3VR</t>
  </si>
  <si>
    <t>NUANCIERS COL'IN 30</t>
  </si>
  <si>
    <t>NUANCIERS COL'IN 55</t>
  </si>
  <si>
    <t>2X2VR</t>
  </si>
  <si>
    <t>2VP</t>
  </si>
  <si>
    <t>NUANCIERS SPACIA 26 COMMERCIAL</t>
  </si>
  <si>
    <t>NUANCIERS SPACIA 26 RESIDENTIAL</t>
  </si>
  <si>
    <t>COLL PP</t>
  </si>
  <si>
    <t>6 VR</t>
  </si>
  <si>
    <t xml:space="preserve">CLASSEUR </t>
  </si>
  <si>
    <t>PRIMERO</t>
  </si>
  <si>
    <t>VERSION 3</t>
  </si>
  <si>
    <t>ELECTO</t>
  </si>
  <si>
    <t>DIVINO</t>
  </si>
  <si>
    <t>ULTIMO</t>
  </si>
  <si>
    <t>WURTH</t>
  </si>
  <si>
    <t>2VR</t>
  </si>
  <si>
    <t>NUANCIERS ID SQUARE INTER</t>
  </si>
  <si>
    <t>NUANCIERS ID SQUARE ES</t>
  </si>
  <si>
    <t>NUANCIERS ID SQUARE IT</t>
  </si>
  <si>
    <t>NUANCIERS ID SQUARE UK</t>
  </si>
  <si>
    <t>NUANCIERS ID SQUARE FR</t>
  </si>
  <si>
    <t>NUANCIERS EXCELLENCE INTER</t>
  </si>
  <si>
    <t>NUANCIERS EXCELLENCE DE</t>
  </si>
  <si>
    <t>NUANCIERS EXCELLENCE ES</t>
  </si>
  <si>
    <t>NUANCIERS EXCELLENCE UK/NORD</t>
  </si>
  <si>
    <t>NUANCIERS EXCELLENCE IT</t>
  </si>
  <si>
    <t>CINTRES</t>
  </si>
  <si>
    <t>LIASSES TLP</t>
  </si>
  <si>
    <t>LIASSE PP</t>
  </si>
  <si>
    <t>BOITE</t>
  </si>
  <si>
    <t>NUANCIERS HPL POLYREY</t>
  </si>
  <si>
    <t>NUANCIERS HPL RESOLPAL</t>
  </si>
  <si>
    <t>JX ECH HPL</t>
  </si>
  <si>
    <t>NUANCIERS PREMIUM GB</t>
  </si>
  <si>
    <t>NUANCIERS PREMIUM FR</t>
  </si>
  <si>
    <t>LIASSE PVC</t>
  </si>
  <si>
    <t>THOR</t>
  </si>
  <si>
    <t>CHROME</t>
  </si>
  <si>
    <t>GLOW</t>
  </si>
  <si>
    <t>ORB</t>
  </si>
  <si>
    <t>PANNEAUX</t>
  </si>
  <si>
    <t>2 VR</t>
  </si>
  <si>
    <t xml:space="preserve">MEUBLE </t>
  </si>
  <si>
    <t>4VP</t>
  </si>
  <si>
    <t>9VP</t>
  </si>
  <si>
    <t>DATE COMMANDE MATIERE</t>
  </si>
  <si>
    <t>DATE VALID MODELE CLIENT</t>
  </si>
  <si>
    <t>PB DECOUPE</t>
  </si>
  <si>
    <t>PB IMPRESSION</t>
  </si>
  <si>
    <t>STOCK</t>
  </si>
  <si>
    <t>TYPE BLOCAGE</t>
  </si>
  <si>
    <t>ALLURA CLICK FLEXCORE</t>
  </si>
  <si>
    <t>LINO ART</t>
  </si>
  <si>
    <t xml:space="preserve">NB DEPART </t>
  </si>
  <si>
    <t>DEPART EN PROD MATIERE</t>
  </si>
  <si>
    <t>DEPART EN PROD TIRAGES &amp; ACHATS</t>
  </si>
  <si>
    <t>ANC MODELE</t>
  </si>
  <si>
    <t>LOOSELAY</t>
  </si>
  <si>
    <t>RUBY</t>
  </si>
  <si>
    <t>R TILE</t>
  </si>
  <si>
    <t>VOYAGEUR</t>
  </si>
  <si>
    <t>CARTE MOQUETTE</t>
  </si>
  <si>
    <t>ESP REV</t>
  </si>
  <si>
    <t>COLL PP LES ECO CREA</t>
  </si>
  <si>
    <t>COLL PP LES UNIS</t>
  </si>
  <si>
    <t>COLL PP LES ESSENTIELS</t>
  </si>
  <si>
    <t>300+500</t>
  </si>
  <si>
    <t>FORMICA</t>
  </si>
  <si>
    <t>COLL DOORS</t>
  </si>
  <si>
    <t>HPL</t>
  </si>
  <si>
    <t>ALLIOS</t>
  </si>
  <si>
    <t>VALISE MOQ</t>
  </si>
  <si>
    <t>VALISE</t>
  </si>
  <si>
    <t>ID 100</t>
  </si>
  <si>
    <t>CUSTODE + NUANCIER</t>
  </si>
  <si>
    <t>IQ GRANIT IQ EMIENT</t>
  </si>
  <si>
    <t>IQ EMINENT</t>
  </si>
  <si>
    <t>4 VR</t>
  </si>
  <si>
    <t>IQ MOTION</t>
  </si>
  <si>
    <t>ANTIGONE</t>
  </si>
  <si>
    <t>LEEUWENBURG</t>
  </si>
  <si>
    <t>NUANCIERS HPL</t>
  </si>
  <si>
    <t>FORBO NL</t>
  </si>
  <si>
    <t>SPHERA</t>
  </si>
  <si>
    <t>SARLON MODUL UP</t>
  </si>
  <si>
    <t>FLOTEX PLANK</t>
  </si>
  <si>
    <t>ALLURA DECIBEL</t>
  </si>
  <si>
    <t>COLL UGD</t>
  </si>
  <si>
    <t>COLL DELZONGLE</t>
  </si>
  <si>
    <t>MEGA CLIC</t>
  </si>
  <si>
    <t>TARASAFE ULTRA</t>
  </si>
  <si>
    <t>1 VP</t>
  </si>
  <si>
    <t>PREMIUM</t>
  </si>
  <si>
    <t>LINO SPORT</t>
  </si>
  <si>
    <t>IPERFORM</t>
  </si>
  <si>
    <t>ALSAFLOORING</t>
  </si>
  <si>
    <t>LIASSE BOIS</t>
  </si>
  <si>
    <t>INSPERO SELECT 10</t>
  </si>
  <si>
    <t>COLL TOILE DE VERRE</t>
  </si>
  <si>
    <t>TAPIS SUR MESURE</t>
  </si>
  <si>
    <t>SAFETRED</t>
  </si>
  <si>
    <t>NUANCIER R55 AKZO</t>
  </si>
  <si>
    <t>REVELA CROMOLOGY</t>
  </si>
  <si>
    <t>PVC AKZO</t>
  </si>
  <si>
    <t>FABER</t>
  </si>
  <si>
    <t>CARTE PLISSE</t>
  </si>
  <si>
    <t>BORELA DUO</t>
  </si>
  <si>
    <t>2 VP</t>
  </si>
  <si>
    <t>LIASSE PLAN TRAVAIL</t>
  </si>
  <si>
    <t>NORA</t>
  </si>
  <si>
    <t>NORAPLAN</t>
  </si>
  <si>
    <t>ULTRAGRIP</t>
  </si>
  <si>
    <t>OBJECTFLOR</t>
  </si>
  <si>
    <t>CAVALIO LOOSELAY</t>
  </si>
  <si>
    <t>SCAPA</t>
  </si>
  <si>
    <t>NUANCIER PVC</t>
  </si>
  <si>
    <t>NUANCIER PARQ BERRICHONE</t>
  </si>
  <si>
    <t>NUANCIER NATURE</t>
  </si>
  <si>
    <t>NUANCIER LAMES VINYL</t>
  </si>
  <si>
    <t>BOW WATERPOOL</t>
  </si>
  <si>
    <t>MSB</t>
  </si>
  <si>
    <t>NUANCIER TISSU</t>
  </si>
  <si>
    <t>NUANCIERS</t>
  </si>
  <si>
    <t>3X300</t>
  </si>
  <si>
    <t>SAFETY VINYL</t>
  </si>
  <si>
    <t>ARMONIA</t>
  </si>
  <si>
    <t>CAMARO</t>
  </si>
  <si>
    <t>COLONIA</t>
  </si>
  <si>
    <t>EXPONA WOOD</t>
  </si>
  <si>
    <t>EXPONA STONE</t>
  </si>
  <si>
    <t>EMP CONSEIL</t>
  </si>
  <si>
    <t>CREATION CROMOLOGY</t>
  </si>
  <si>
    <t>BAUMIT</t>
  </si>
  <si>
    <t>NUANCIER FACADE</t>
  </si>
  <si>
    <t>AQUASTEP</t>
  </si>
  <si>
    <t>2X250</t>
  </si>
  <si>
    <t>CGT</t>
  </si>
  <si>
    <t>PROTO</t>
  </si>
  <si>
    <t>LIASSE GEDIMAT</t>
  </si>
  <si>
    <t>CABRIO 2000</t>
  </si>
  <si>
    <t>CARTE TISSU</t>
  </si>
  <si>
    <t>2X150</t>
  </si>
  <si>
    <t>PANNEAU ID CONFORT</t>
  </si>
  <si>
    <t>BERRY</t>
  </si>
  <si>
    <t>NUANCIER SPE</t>
  </si>
  <si>
    <t>COLL PP INTERIOR</t>
  </si>
  <si>
    <t>LAMIDECOR 32</t>
  </si>
  <si>
    <t>PIXIS</t>
  </si>
  <si>
    <t>LAMIDECOR 33</t>
  </si>
  <si>
    <t>TOP FLOR</t>
  </si>
  <si>
    <t>2VR + 3VP+4VP</t>
  </si>
  <si>
    <t>2R + 2 VP + 3VP</t>
  </si>
  <si>
    <t>2VR + 2X8VP</t>
  </si>
  <si>
    <t>CLASSEUR + CARTE</t>
  </si>
  <si>
    <t>TISSUS</t>
  </si>
  <si>
    <t>3VR BOIS</t>
  </si>
  <si>
    <t>2VR BOIS</t>
  </si>
  <si>
    <t>2VR + 4 VP</t>
  </si>
  <si>
    <t>5VP</t>
  </si>
  <si>
    <t>2VR + 5X2VP</t>
  </si>
  <si>
    <t>2VR + 6X2VP</t>
  </si>
  <si>
    <t>2VR+4VP</t>
  </si>
  <si>
    <t>2VR+2X8VP</t>
  </si>
  <si>
    <t>2VR+2X6VP</t>
  </si>
  <si>
    <t xml:space="preserve">2VR + </t>
  </si>
  <si>
    <t>ANC FAB</t>
  </si>
  <si>
    <t>PANNE</t>
  </si>
  <si>
    <t>LBFI</t>
  </si>
  <si>
    <t>CDE ANNULEE</t>
  </si>
  <si>
    <t>RCDE MATIERE</t>
  </si>
  <si>
    <t>RCDE MATIERE CLIENT</t>
  </si>
  <si>
    <t>REIMPRESSION CAM 4/9/25</t>
  </si>
  <si>
    <t>NON QUALITE IMP</t>
  </si>
  <si>
    <t>INFO</t>
  </si>
  <si>
    <t>PB MATIERE GERFLOR</t>
  </si>
  <si>
    <t>ATTENTE CLIENT</t>
  </si>
  <si>
    <t>PB QUALITE PELLICULAGE 9/10</t>
  </si>
  <si>
    <t>STOP MOULE AFFUTAGE</t>
  </si>
  <si>
    <t>REIMP DE 27/11</t>
  </si>
  <si>
    <t>CC COLLAGE LILLE</t>
  </si>
  <si>
    <t>RETIRAGE ETIQ</t>
  </si>
  <si>
    <t>PANNE PELLICULEUSE SOUS TRAITANCE COPMLEXE</t>
  </si>
  <si>
    <t>SOUS TRAITANCE PELL COMPLEXE</t>
  </si>
  <si>
    <t>RETARD BROCHURE CLIENT + COURAND</t>
  </si>
  <si>
    <t>X</t>
  </si>
  <si>
    <t>DATE PAPIER 380 GR</t>
  </si>
  <si>
    <t>JEUX ECH HPL</t>
  </si>
  <si>
    <t>MARINE</t>
  </si>
  <si>
    <t>ACHATS/REVENTE 2025</t>
  </si>
  <si>
    <t>NON QUALITE CONTRE COLLAGE LILLE</t>
  </si>
  <si>
    <t>NUANCIER LINO MATERIALE</t>
  </si>
  <si>
    <t>SOPROFEN</t>
  </si>
  <si>
    <t>LIASSES TISSUS</t>
  </si>
  <si>
    <t>LIASSES</t>
  </si>
  <si>
    <t>NUANCIERS CREATION 55/70 LOOSELAY</t>
  </si>
  <si>
    <t>NUANCIER STRATFLOOR ULTIMATE 30</t>
  </si>
  <si>
    <t>NUANCIER STRATFLOOR ULTIMATE 55</t>
  </si>
  <si>
    <t>DELZONGLE MP</t>
  </si>
  <si>
    <t>PROGRAMME I PERFORM &amp; PIONNER</t>
  </si>
  <si>
    <t>LIASSES DECORALIA</t>
  </si>
  <si>
    <t>NUANCIERS ID INSPIRATION</t>
  </si>
  <si>
    <t>SOLDIS</t>
  </si>
  <si>
    <t>NUANCIER SPC 40/ SPC55</t>
  </si>
  <si>
    <t>NUANCIERS CREATION SAGA GB</t>
  </si>
  <si>
    <t>SOPREMA IBERIA</t>
  </si>
  <si>
    <t>LIASSES MINERAI SAMPLE BOOK</t>
  </si>
  <si>
    <t>CARTES SATINE 5500</t>
  </si>
  <si>
    <t>MASTIC GRIS REF 147610</t>
  </si>
  <si>
    <t>QOVANS</t>
  </si>
  <si>
    <t>NUANCIERS LINEANCE &amp; PORTES</t>
  </si>
  <si>
    <t>CDE N°4500630401 REF. 147610</t>
  </si>
  <si>
    <t>NUANCIERS INTOO</t>
  </si>
  <si>
    <t>NUANCIERS MSB / COUBLANC</t>
  </si>
  <si>
    <t>SOLUTINOX</t>
  </si>
  <si>
    <t>PROBLEME IMPRESSION</t>
  </si>
  <si>
    <t>OUBLI TIRAGE LILLE</t>
  </si>
  <si>
    <t>PB QTE INTER JB MANQUE</t>
  </si>
  <si>
    <t>SELECTEURS ART HOME ALU</t>
  </si>
  <si>
    <t>LIASSES WINTER</t>
  </si>
  <si>
    <t>DEVIS</t>
  </si>
  <si>
    <t>NUANCIERS CREATION 55 &amp; 70 LOOSELAY</t>
  </si>
  <si>
    <t>REMIS</t>
  </si>
  <si>
    <t>NUANCIERS SHADOW 3000</t>
  </si>
  <si>
    <t>STOCK MARINE</t>
  </si>
  <si>
    <t>CREA ISABELLE</t>
  </si>
  <si>
    <t>DATE DE LIVRAISON INITIALE</t>
  </si>
  <si>
    <t>DATE DE LA DERNIERE LIVRAISON</t>
  </si>
  <si>
    <t>Délai total: Ouverture / Dernière livraison</t>
  </si>
  <si>
    <t>Délai total: Ouverture / Première livraison</t>
  </si>
  <si>
    <t>Ecart délai initial et réel</t>
  </si>
  <si>
    <t>Délai total tirages et achats: Ouverture / Départ en prod tirages et achats</t>
  </si>
  <si>
    <t>Délai total matière: Ouverture / Départ en prod matière</t>
  </si>
  <si>
    <t>DATE DE LIVRAISON REELLE</t>
  </si>
  <si>
    <t>Délai réception matière: Appel matière / Complet matière</t>
  </si>
  <si>
    <t>Délai commande matière: Ouverture / Appel matière</t>
  </si>
  <si>
    <t>Délai Papier :Ouverture / Réception papier</t>
  </si>
  <si>
    <t>Délai Fichier :Ouverture / fichier définitif</t>
  </si>
  <si>
    <t>Délai Modèle client : Ouverture / Validation modèle client</t>
  </si>
  <si>
    <t>Délai Impression : MAX(fichier/modele) / Impression</t>
  </si>
  <si>
    <t>Délai total Impression : Ouverture / Impression</t>
  </si>
  <si>
    <t>Délai Impression / Départ en prod tirages et achats</t>
  </si>
  <si>
    <t>Délai Carton :Ouverture / Réception carton</t>
  </si>
  <si>
    <t>Délai départ matière: Complet matière / Départ en prod matière</t>
  </si>
  <si>
    <t>Délai entre départ matière/ départ impression &amp; achats</t>
  </si>
  <si>
    <t>Délai marine: Premier envoi / Première livraison</t>
  </si>
  <si>
    <t>Délai marine: Première livraison/ Dernière livraison</t>
  </si>
  <si>
    <t>ecart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</si>
</sst>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  <xf numFmtId="1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left" vertical="center"/>
    </xf>
    <xf numFmtId="1" fontId="0" fillId="2" borderId="0" xfId="0" applyNumberFormat="1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14" fontId="3" fillId="3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left" vertical="center"/>
    </xf>
    <xf numFmtId="0" fontId="3" fillId="6" borderId="0" xfId="0" applyFont="1" applyFill="1" applyAlignment="1">
      <alignment horizontal="center" vertical="center" wrapText="1"/>
    </xf>
    <xf numFmtId="0" fontId="3" fillId="7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horizontal="center" vertical="center" wrapText="1"/>
    </xf>
    <xf numFmtId="0" fontId="3" fillId="10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0F9780-89AB-46EF-A444-DE15B57A012F}">
  <sheetPr filterMode="1"/>
  <dimension ref="A1:AN254"/>
  <sheetViews>
    <sheetView tabSelected="1" workbookViewId="0">
      <pane xSplit="1" ySplit="1" topLeftCell="B14" activePane="bottomRight" state="frozen"/>
      <selection pane="topRight" activeCell="B1" sqref="B1"/>
      <selection pane="bottomLeft" activeCell="A4" sqref="A4"/>
      <selection pane="bottomRight" activeCell="H266" sqref="H266"/>
    </sheetView>
  </sheetViews>
  <sheetFormatPr baseColWidth="10" defaultColWidth="11.44140625" defaultRowHeight="14.4" x14ac:dyDescent="0.3"/>
  <cols>
    <col min="1" max="1" width="11.109375" style="1" customWidth="1"/>
    <col min="2" max="2" width="22.5546875" style="1" bestFit="1" customWidth="1"/>
    <col min="3" max="3" width="50.44140625" style="3" bestFit="1" customWidth="1"/>
    <col min="4" max="4" width="36.6640625" style="4" bestFit="1" customWidth="1"/>
    <col min="5" max="6" width="16.5546875" style="2" customWidth="1"/>
    <col min="7" max="7" width="24.5546875" style="2" bestFit="1" customWidth="1"/>
    <col min="8" max="8" width="22.109375" style="2" bestFit="1" customWidth="1"/>
    <col min="9" max="9" width="12.5546875" style="2" bestFit="1" customWidth="1"/>
    <col min="10" max="10" width="23.33203125" style="2" customWidth="1"/>
    <col min="11" max="11" width="19.33203125" style="2" customWidth="1"/>
    <col min="12" max="12" width="16.88671875" style="2" bestFit="1" customWidth="1"/>
    <col min="13" max="13" width="18.44140625" style="2" bestFit="1" customWidth="1"/>
    <col min="14" max="14" width="29" style="2" bestFit="1" customWidth="1"/>
    <col min="15" max="15" width="29" style="2" customWidth="1"/>
    <col min="16" max="17" width="30.77734375" style="2" bestFit="1" customWidth="1"/>
    <col min="18" max="18" width="31" style="2" bestFit="1" customWidth="1"/>
    <col min="19" max="19" width="11.5546875" style="1" bestFit="1" customWidth="1"/>
    <col min="20" max="20" width="19.109375" style="3" bestFit="1" customWidth="1"/>
    <col min="21" max="21" width="23.33203125" style="1" bestFit="1" customWidth="1"/>
    <col min="22" max="22" width="18.77734375" style="1" bestFit="1" customWidth="1"/>
    <col min="23" max="23" width="26.77734375" style="1" customWidth="1"/>
    <col min="24" max="24" width="22.33203125" style="1" customWidth="1"/>
    <col min="25" max="25" width="17" style="1" customWidth="1"/>
    <col min="26" max="26" width="32.44140625" style="1" customWidth="1"/>
    <col min="27" max="27" width="33.44140625" style="1" customWidth="1"/>
    <col min="28" max="28" width="28.5546875" style="1" customWidth="1"/>
    <col min="29" max="29" width="29" style="1" customWidth="1"/>
    <col min="30" max="30" width="31.21875" style="1" customWidth="1"/>
    <col min="31" max="31" width="36.5546875" style="1" customWidth="1"/>
    <col min="32" max="32" width="31.6640625" style="1" bestFit="1" customWidth="1"/>
    <col min="33" max="33" width="31.6640625" style="1" customWidth="1"/>
    <col min="34" max="34" width="26.6640625" style="1" customWidth="1"/>
    <col min="35" max="35" width="36.5546875" style="1" bestFit="1" customWidth="1"/>
    <col min="36" max="36" width="32.44140625" style="1" bestFit="1" customWidth="1"/>
    <col min="37" max="38" width="36.33203125" style="1" customWidth="1"/>
    <col min="39" max="40" width="28.21875" style="1" customWidth="1"/>
    <col min="41" max="16384" width="11.44140625" style="1"/>
  </cols>
  <sheetData>
    <row r="1" spans="1:40" s="6" customFormat="1" ht="40.799999999999997" customHeight="1" x14ac:dyDescent="0.3">
      <c r="A1" s="11" t="s">
        <v>0</v>
      </c>
      <c r="B1" s="11" t="s">
        <v>1</v>
      </c>
      <c r="C1" s="11" t="s">
        <v>2</v>
      </c>
      <c r="D1" s="12" t="s">
        <v>126</v>
      </c>
      <c r="E1" s="13" t="s">
        <v>127</v>
      </c>
      <c r="F1" s="14" t="s">
        <v>3</v>
      </c>
      <c r="G1" s="14" t="s">
        <v>195</v>
      </c>
      <c r="H1" s="14" t="s">
        <v>4</v>
      </c>
      <c r="I1" s="14" t="s">
        <v>5</v>
      </c>
      <c r="J1" s="15" t="s">
        <v>196</v>
      </c>
      <c r="K1" s="14" t="s">
        <v>335</v>
      </c>
      <c r="L1" s="14" t="s">
        <v>6</v>
      </c>
      <c r="M1" s="14" t="s">
        <v>7</v>
      </c>
      <c r="N1" s="14" t="s">
        <v>204</v>
      </c>
      <c r="O1" s="15" t="s">
        <v>205</v>
      </c>
      <c r="P1" s="14" t="s">
        <v>375</v>
      </c>
      <c r="Q1" s="14" t="s">
        <v>382</v>
      </c>
      <c r="R1" s="14" t="s">
        <v>376</v>
      </c>
      <c r="S1" s="16" t="s">
        <v>203</v>
      </c>
      <c r="T1" s="17" t="s">
        <v>200</v>
      </c>
      <c r="U1" s="17" t="s">
        <v>200</v>
      </c>
      <c r="V1" s="16" t="s">
        <v>323</v>
      </c>
      <c r="W1" s="18" t="s">
        <v>377</v>
      </c>
      <c r="X1" s="18" t="s">
        <v>378</v>
      </c>
      <c r="Y1" s="19" t="s">
        <v>379</v>
      </c>
      <c r="Z1" s="19" t="s">
        <v>381</v>
      </c>
      <c r="AA1" s="19" t="s">
        <v>384</v>
      </c>
      <c r="AB1" s="19" t="s">
        <v>383</v>
      </c>
      <c r="AC1" s="19" t="s">
        <v>392</v>
      </c>
      <c r="AD1" s="20" t="s">
        <v>380</v>
      </c>
      <c r="AE1" s="21" t="s">
        <v>389</v>
      </c>
      <c r="AF1" s="21" t="s">
        <v>385</v>
      </c>
      <c r="AG1" s="21" t="s">
        <v>391</v>
      </c>
      <c r="AH1" s="21" t="s">
        <v>386</v>
      </c>
      <c r="AI1" s="21" t="s">
        <v>387</v>
      </c>
      <c r="AJ1" s="21" t="s">
        <v>388</v>
      </c>
      <c r="AK1" s="21" t="s">
        <v>390</v>
      </c>
      <c r="AL1" s="22" t="s">
        <v>393</v>
      </c>
      <c r="AM1" s="22" t="s">
        <v>394</v>
      </c>
      <c r="AN1" s="22" t="s">
        <v>395</v>
      </c>
    </row>
    <row r="2" spans="1:40" hidden="1" x14ac:dyDescent="0.3">
      <c r="A2" s="1">
        <v>24168</v>
      </c>
      <c r="B2" s="1" t="s">
        <v>9</v>
      </c>
      <c r="C2" s="3" t="s">
        <v>10</v>
      </c>
      <c r="D2" s="4">
        <v>1040</v>
      </c>
      <c r="F2" s="2">
        <v>45531</v>
      </c>
      <c r="G2" s="2">
        <v>45924</v>
      </c>
      <c r="H2" s="2">
        <v>45961</v>
      </c>
      <c r="I2" s="2">
        <v>45946</v>
      </c>
      <c r="J2" s="2">
        <v>45945</v>
      </c>
      <c r="K2" s="2">
        <v>45934</v>
      </c>
      <c r="L2" s="2">
        <v>45966</v>
      </c>
      <c r="M2" s="2">
        <v>45937</v>
      </c>
      <c r="N2" s="2">
        <v>45975</v>
      </c>
      <c r="O2" s="2">
        <v>45974</v>
      </c>
      <c r="P2" s="2">
        <v>46003</v>
      </c>
      <c r="Q2" s="2">
        <v>46003</v>
      </c>
      <c r="R2" s="2">
        <v>46003</v>
      </c>
      <c r="S2" s="1">
        <v>1</v>
      </c>
      <c r="W2" s="1">
        <f>IF($R2="","NON LIVRE",NETWORKDAYS($F2,$R2)-1)</f>
        <v>338</v>
      </c>
      <c r="X2" s="1">
        <f>IF($Q2="","NON LIVRE",NETWORKDAYS($F2,$Q2)-1)</f>
        <v>338</v>
      </c>
      <c r="Y2" s="1">
        <f>IF($Q2="","NON LIVRE",NETWORKDAYS($P2,$Q2)-1)</f>
        <v>0</v>
      </c>
      <c r="Z2" s="1">
        <f>IFERROR(IF($R2="","NON LIVRE",IF($N2="","PAS DE DEPART MATIERE",NETWORKDAYS($F2,$N2)-1)),$N2)</f>
        <v>318</v>
      </c>
      <c r="AA2" s="1">
        <f>IFERROR(IF($R2="","NON LIVRE",IF($G2="","PAS DE COMMANDE MATIERE",NETWORKDAYS($F2,$G2)-1)),$G2)</f>
        <v>281</v>
      </c>
      <c r="AB2" s="1">
        <f>IFERROR(IF($R2="","NON LIVRE",IF($H2="","PAS DE COMMANDE MATIERE",NETWORKDAYS($G2,$H2)-1)),$H2)</f>
        <v>27</v>
      </c>
      <c r="AC2" s="1">
        <f>IFERROR(IF($R2="","NON LIVRE",IF($N2="","PAS DE COMMANDE MATIERE",NETWORKDAYS($H2,$N2)-1)),$N2)</f>
        <v>10</v>
      </c>
      <c r="AD2" s="1">
        <f>IFERROR(IF($R2="","NON LIVRE",IF($O2="","PAS DE DEPART TIRAGES OU ACHATS",NETWORKDAYS($F2,$O2)-1)),$O2)</f>
        <v>317</v>
      </c>
      <c r="AE2" s="1">
        <f>IFERROR(IF($R2="","NON LIVRE",IF($L2="","PAS DE DATE IMPRESSION",NETWORKDAYS($F2,$L2)-1)),$L2)</f>
        <v>311</v>
      </c>
      <c r="AF2" s="1">
        <f>IFERROR(IF($R2="","NON LIVRE",IF($K2="","PAS DE DATE PAPIER",NETWORKDAYS($F2,$K2)-1)),$K2)</f>
        <v>288</v>
      </c>
      <c r="AG2" s="1">
        <f>IFERROR(IF($R2="","NON LIVRE",IF($M2="","PAS DE DATE CARTON",NETWORKDAYS($F2,$M2)-1)),$M2)</f>
        <v>290</v>
      </c>
      <c r="AH2" s="1">
        <f>IFERROR(IF($R2="","NON LIVRE",IF($I2="","PAS DE DATE FICHIER",NETWORKDAYS($F2,$I2)-1)),$I2)</f>
        <v>297</v>
      </c>
      <c r="AI2" s="1">
        <f>IFERROR(IF($R2="","NON LIVRE",IF($J2="","PAS DE DATE VALIDATION MODELE CLIENT",NETWORKDAYS($F2,$J2)-1)),$J2)</f>
        <v>296</v>
      </c>
      <c r="AJ2" s="1">
        <f>IFERROR(IF($R2="","NON LIVRE",IF($L2="","PAS DE DATE IMPRESSION",NETWORKDAYS(MAX($I2,$J2),$L2)-1)),$L2)</f>
        <v>14</v>
      </c>
      <c r="AK2" s="1">
        <f>IFERROR(IF($R2="","NON LIVRE",IF($L2="","PAS D'IMPRESSION",IF($O2="","PAS DE DATE VALIDATION MODELE CLIENT",NETWORKDAYS($L2,$O2)-1))),$O2)</f>
        <v>6</v>
      </c>
      <c r="AL2" s="1">
        <f>IFERROR(IF($R2="","NON LIVRE",IF(MAX($N2,$O2)=0,"PAS D'EXPEDITION DE MATIERE, D'IMPRESSION, OU D'ACHAT",NETWORKDAYS(MIN($N2,$O2),MAX($N2,$O2))-1)),"PAS D'EXPEDITION DE MATIERE, D'IMPRESSION, OU D'ACHAT")</f>
        <v>1</v>
      </c>
      <c r="AM2" s="1">
        <f t="shared" ref="AM2:AM65" si="0">IFERROR(IF($R2="","NON LIVRE",IF(MAX($N2,$O2)=0,"PAS D'EXPEDITION DE MATIERE, D'IMPRESSION, OU D'ACHAT",NETWORKDAYS(MAX($N2,$O2),$Q2)-1)),"PAS D'EXPEDITION DE MATIERE, D'IMPRESSION, OU D'ACHAT")</f>
        <v>20</v>
      </c>
      <c r="AN2" s="1">
        <f>IFERROR(IF($R2="","NON LIVRE",IF($N2="","PAS D'IMPRESSION",IF($O2="","PAS DE DATE VALIDATION MODELE CLIENT",NETWORKDAYS($Q2,R2)-1))),$O2)</f>
        <v>0</v>
      </c>
    </row>
    <row r="3" spans="1:40" hidden="1" x14ac:dyDescent="0.3">
      <c r="A3" s="1">
        <v>24229</v>
      </c>
      <c r="B3" s="1" t="s">
        <v>9</v>
      </c>
      <c r="C3" s="3" t="s">
        <v>11</v>
      </c>
      <c r="D3" s="4">
        <v>500</v>
      </c>
      <c r="F3" s="2">
        <v>45604</v>
      </c>
      <c r="G3" s="2">
        <v>45594</v>
      </c>
      <c r="H3" s="2">
        <v>45615</v>
      </c>
      <c r="T3" s="3" t="s">
        <v>318</v>
      </c>
      <c r="W3" s="1" t="str">
        <f t="shared" ref="W3:W62" si="1">IF($R3="","NON LIVRE",NETWORKDAYS($F3,$R3)-1)</f>
        <v>NON LIVRE</v>
      </c>
      <c r="X3" s="1" t="str">
        <f t="shared" ref="X3:X62" si="2">IF($Q3="","NON LIVRE",NETWORKDAYS($F3,$Q3)-1)</f>
        <v>NON LIVRE</v>
      </c>
      <c r="Y3" s="1" t="str">
        <f t="shared" ref="Y3:Y62" si="3">IF($Q3="","NON LIVRE",NETWORKDAYS($P3,$Q3)-1)</f>
        <v>NON LIVRE</v>
      </c>
      <c r="Z3" s="1" t="str">
        <f t="shared" ref="Z3:Z66" si="4">IFERROR(IF($R3="","NON LIVRE",IF($N3="","PAS DE DEPART MATIERE",NETWORKDAYS($F3,$N3)-1)),$N3)</f>
        <v>NON LIVRE</v>
      </c>
      <c r="AA3" s="1" t="str">
        <f t="shared" ref="AA3:AA62" si="5">IFERROR(IF($R3="","NON LIVRE",IF($G3="","PAS DE COMMANDE MATIERE",NETWORKDAYS($F3,$G3)-1)),$G3)</f>
        <v>NON LIVRE</v>
      </c>
      <c r="AB3" s="1" t="str">
        <f t="shared" ref="AB3:AB66" si="6">IFERROR(IF($R3="","NON LIVRE",IF($H3="","PAS DE COMMANDE MATIERE",NETWORKDAYS($G3,$H3)-1)),$H3)</f>
        <v>NON LIVRE</v>
      </c>
      <c r="AC3" s="1" t="str">
        <f t="shared" ref="AC3:AC66" si="7">IFERROR(IF($R3="","NON LIVRE",IF($N3="","PAS DE COMMANDE MATIERE",NETWORKDAYS($H3,$N3)-1)),$N3)</f>
        <v>NON LIVRE</v>
      </c>
      <c r="AD3" s="1" t="str">
        <f t="shared" ref="AD3:AD62" si="8">IFERROR(IF($R3="","NON LIVRE",IF($O3="","PAS DE DEPART TIRAGES OU ACHATS",NETWORKDAYS($F3,$O3)-1)),$O3)</f>
        <v>NON LIVRE</v>
      </c>
      <c r="AE3" s="1" t="str">
        <f t="shared" ref="AE3:AE66" si="9">IFERROR(IF($R3="","NON LIVRE",IF($L3="","PAS DE DATE IMPRESSION",NETWORKDAYS($F3,$L3)-1)),$L3)</f>
        <v>NON LIVRE</v>
      </c>
      <c r="AF3" s="1" t="str">
        <f t="shared" ref="AF3:AF66" si="10">IFERROR(IF($R3="","NON LIVRE",IF($K3="","PAS DE DATE PAPIER",NETWORKDAYS($F3,$K3)-1)),$K3)</f>
        <v>NON LIVRE</v>
      </c>
      <c r="AG3" s="1" t="str">
        <f t="shared" ref="AG3:AG66" si="11">IFERROR(IF($R3="","NON LIVRE",IF($M3="","PAS DE DATE CARTON",NETWORKDAYS($F3,$M3)-1)),$M3)</f>
        <v>NON LIVRE</v>
      </c>
      <c r="AH3" s="1" t="str">
        <f t="shared" ref="AH3:AH66" si="12">IFERROR(IF($R3="","NON LIVRE",IF($I3="","PAS DE DATE FICHIER",NETWORKDAYS($F3,$I3)-1)),$I3)</f>
        <v>NON LIVRE</v>
      </c>
      <c r="AI3" s="1" t="str">
        <f t="shared" ref="AI3:AI66" si="13">IFERROR(IF($R3="","NON LIVRE",IF($J3="","PAS DE DATE VALIDATION MODELE CLIENT",NETWORKDAYS($F3,$J3)-1)),$J3)</f>
        <v>NON LIVRE</v>
      </c>
      <c r="AJ3" s="1" t="str">
        <f t="shared" ref="AJ3:AJ66" si="14">IFERROR(IF($R3="","NON LIVRE",IF($L3="","PAS DE DATE IMPRESSION",NETWORKDAYS(MAX($I3,$J3),$L3)-1)),$L3)</f>
        <v>NON LIVRE</v>
      </c>
      <c r="AK3" s="1" t="str">
        <f t="shared" ref="AK3:AK4" si="15">IFERROR(IF($R3="","NON LIVRE",IF($L3="","PAS D'IMPRESSION",IF($O3="","PAS DE DATE VALIDATION MODELE CLIENT",NETWORKDAYS($L3,$O3)-1))),$O3)</f>
        <v>NON LIVRE</v>
      </c>
      <c r="AL3" s="1" t="str">
        <f t="shared" ref="AL3:AL66" si="16">IFERROR(IF($R3="","NON LIVRE",IF(MAX($N3,$O3)=0,"PAS D'EXPEDITION DE MATIERE, D'IMPRESSION, OU D'ACHAT",NETWORKDAYS(MIN($N3,$O3),MAX($N3,$O3))-1)),"PAS D'EXPEDITION DE MATIERE, D'IMPRESSION, OU D'ACHAT")</f>
        <v>NON LIVRE</v>
      </c>
      <c r="AM3" s="1" t="str">
        <f t="shared" si="0"/>
        <v>NON LIVRE</v>
      </c>
      <c r="AN3" s="1" t="str">
        <f t="shared" ref="AN3:AN66" si="17">IFERROR(IF($R3="","NON LIVRE",IF($N3="","PAS D'IMPRESSION",IF($O3="","PAS DE DATE VALIDATION MODELE CLIENT",NETWORKDAYS($Q3,R3)-1))),$O3)</f>
        <v>NON LIVRE</v>
      </c>
    </row>
    <row r="4" spans="1:40" hidden="1" x14ac:dyDescent="0.3">
      <c r="A4" s="1">
        <v>24238</v>
      </c>
      <c r="B4" s="1" t="s">
        <v>12</v>
      </c>
      <c r="C4" s="5" t="s">
        <v>129</v>
      </c>
      <c r="D4" s="4">
        <v>1500</v>
      </c>
      <c r="E4" s="2" t="s">
        <v>137</v>
      </c>
      <c r="F4" s="2">
        <v>45615</v>
      </c>
      <c r="W4" s="1" t="str">
        <f t="shared" si="1"/>
        <v>NON LIVRE</v>
      </c>
      <c r="X4" s="1" t="str">
        <f t="shared" si="2"/>
        <v>NON LIVRE</v>
      </c>
      <c r="Y4" s="1" t="str">
        <f t="shared" si="3"/>
        <v>NON LIVRE</v>
      </c>
      <c r="Z4" s="1" t="str">
        <f t="shared" si="4"/>
        <v>NON LIVRE</v>
      </c>
      <c r="AA4" s="1" t="str">
        <f t="shared" si="5"/>
        <v>NON LIVRE</v>
      </c>
      <c r="AB4" s="1" t="str">
        <f t="shared" si="6"/>
        <v>NON LIVRE</v>
      </c>
      <c r="AC4" s="1" t="str">
        <f t="shared" si="7"/>
        <v>NON LIVRE</v>
      </c>
      <c r="AD4" s="1" t="str">
        <f t="shared" si="8"/>
        <v>NON LIVRE</v>
      </c>
      <c r="AE4" s="1" t="str">
        <f t="shared" si="9"/>
        <v>NON LIVRE</v>
      </c>
      <c r="AF4" s="1" t="str">
        <f t="shared" si="10"/>
        <v>NON LIVRE</v>
      </c>
      <c r="AG4" s="1" t="str">
        <f t="shared" si="11"/>
        <v>NON LIVRE</v>
      </c>
      <c r="AH4" s="1" t="str">
        <f t="shared" si="12"/>
        <v>NON LIVRE</v>
      </c>
      <c r="AI4" s="1" t="str">
        <f t="shared" si="13"/>
        <v>NON LIVRE</v>
      </c>
      <c r="AJ4" s="1" t="str">
        <f t="shared" si="14"/>
        <v>NON LIVRE</v>
      </c>
      <c r="AK4" s="1" t="str">
        <f t="shared" si="15"/>
        <v>NON LIVRE</v>
      </c>
      <c r="AL4" s="1" t="str">
        <f t="shared" si="16"/>
        <v>NON LIVRE</v>
      </c>
      <c r="AM4" s="1" t="str">
        <f t="shared" si="0"/>
        <v>NON LIVRE</v>
      </c>
      <c r="AN4" s="1" t="str">
        <f t="shared" si="17"/>
        <v>NON LIVRE</v>
      </c>
    </row>
    <row r="5" spans="1:40" hidden="1" x14ac:dyDescent="0.3">
      <c r="A5" s="1">
        <v>24238</v>
      </c>
      <c r="B5" s="1" t="s">
        <v>12</v>
      </c>
      <c r="C5" s="5" t="s">
        <v>130</v>
      </c>
      <c r="D5" s="4">
        <v>1000</v>
      </c>
      <c r="E5" s="2" t="s">
        <v>137</v>
      </c>
      <c r="F5" s="2">
        <v>45615</v>
      </c>
      <c r="W5" s="1" t="str">
        <f t="shared" si="1"/>
        <v>NON LIVRE</v>
      </c>
      <c r="X5" s="1" t="str">
        <f t="shared" si="2"/>
        <v>NON LIVRE</v>
      </c>
      <c r="Y5" s="1" t="str">
        <f t="shared" si="3"/>
        <v>NON LIVRE</v>
      </c>
      <c r="Z5" s="1" t="str">
        <f t="shared" si="4"/>
        <v>NON LIVRE</v>
      </c>
      <c r="AA5" s="1" t="str">
        <f t="shared" si="5"/>
        <v>NON LIVRE</v>
      </c>
      <c r="AB5" s="1" t="str">
        <f t="shared" si="6"/>
        <v>NON LIVRE</v>
      </c>
      <c r="AC5" s="1" t="str">
        <f t="shared" si="7"/>
        <v>NON LIVRE</v>
      </c>
      <c r="AD5" s="1" t="str">
        <f t="shared" si="8"/>
        <v>NON LIVRE</v>
      </c>
      <c r="AE5" s="1" t="str">
        <f t="shared" si="9"/>
        <v>NON LIVRE</v>
      </c>
      <c r="AF5" s="1" t="str">
        <f t="shared" si="10"/>
        <v>NON LIVRE</v>
      </c>
      <c r="AG5" s="1" t="str">
        <f t="shared" si="11"/>
        <v>NON LIVRE</v>
      </c>
      <c r="AH5" s="1" t="str">
        <f t="shared" si="12"/>
        <v>NON LIVRE</v>
      </c>
      <c r="AI5" s="1" t="str">
        <f t="shared" si="13"/>
        <v>NON LIVRE</v>
      </c>
      <c r="AJ5" s="1" t="str">
        <f t="shared" si="14"/>
        <v>NON LIVRE</v>
      </c>
      <c r="AK5" s="1" t="str">
        <f t="shared" ref="AK5:AK37" si="18">IFERROR(IF($R5="","NON LIVRE",IF($L5="","PAS D'IMPRESSION",IF($O5="","PAS DE DATE DEPART EN PROD TIRAGES ET ACHATS",NETWORKDAYS($L5,$O5)-1))),$O5)</f>
        <v>NON LIVRE</v>
      </c>
      <c r="AL5" s="1" t="str">
        <f t="shared" si="16"/>
        <v>NON LIVRE</v>
      </c>
      <c r="AM5" s="1" t="str">
        <f t="shared" si="0"/>
        <v>NON LIVRE</v>
      </c>
      <c r="AN5" s="1" t="str">
        <f t="shared" si="17"/>
        <v>NON LIVRE</v>
      </c>
    </row>
    <row r="6" spans="1:40" hidden="1" x14ac:dyDescent="0.3">
      <c r="A6" s="1">
        <v>24238</v>
      </c>
      <c r="B6" s="1" t="s">
        <v>12</v>
      </c>
      <c r="C6" s="5" t="s">
        <v>131</v>
      </c>
      <c r="D6" s="4">
        <v>1250</v>
      </c>
      <c r="E6" s="2" t="s">
        <v>137</v>
      </c>
      <c r="F6" s="2">
        <v>45615</v>
      </c>
      <c r="W6" s="1" t="str">
        <f t="shared" si="1"/>
        <v>NON LIVRE</v>
      </c>
      <c r="X6" s="1" t="str">
        <f t="shared" si="2"/>
        <v>NON LIVRE</v>
      </c>
      <c r="Y6" s="1" t="str">
        <f t="shared" si="3"/>
        <v>NON LIVRE</v>
      </c>
      <c r="Z6" s="1" t="str">
        <f t="shared" si="4"/>
        <v>NON LIVRE</v>
      </c>
      <c r="AA6" s="1" t="str">
        <f t="shared" si="5"/>
        <v>NON LIVRE</v>
      </c>
      <c r="AB6" s="1" t="str">
        <f t="shared" si="6"/>
        <v>NON LIVRE</v>
      </c>
      <c r="AC6" s="1" t="str">
        <f t="shared" si="7"/>
        <v>NON LIVRE</v>
      </c>
      <c r="AD6" s="1" t="str">
        <f t="shared" si="8"/>
        <v>NON LIVRE</v>
      </c>
      <c r="AE6" s="1" t="str">
        <f t="shared" si="9"/>
        <v>NON LIVRE</v>
      </c>
      <c r="AF6" s="1" t="str">
        <f t="shared" si="10"/>
        <v>NON LIVRE</v>
      </c>
      <c r="AG6" s="1" t="str">
        <f t="shared" si="11"/>
        <v>NON LIVRE</v>
      </c>
      <c r="AH6" s="1" t="str">
        <f t="shared" si="12"/>
        <v>NON LIVRE</v>
      </c>
      <c r="AI6" s="1" t="str">
        <f t="shared" si="13"/>
        <v>NON LIVRE</v>
      </c>
      <c r="AJ6" s="1" t="str">
        <f t="shared" si="14"/>
        <v>NON LIVRE</v>
      </c>
      <c r="AK6" s="1" t="str">
        <f t="shared" si="18"/>
        <v>NON LIVRE</v>
      </c>
      <c r="AL6" s="1" t="str">
        <f t="shared" si="16"/>
        <v>NON LIVRE</v>
      </c>
      <c r="AM6" s="1" t="str">
        <f t="shared" si="0"/>
        <v>NON LIVRE</v>
      </c>
      <c r="AN6" s="1" t="str">
        <f t="shared" si="17"/>
        <v>NON LIVRE</v>
      </c>
    </row>
    <row r="7" spans="1:40" hidden="1" x14ac:dyDescent="0.3">
      <c r="A7" s="1">
        <v>24238</v>
      </c>
      <c r="B7" s="1" t="s">
        <v>12</v>
      </c>
      <c r="C7" s="5" t="s">
        <v>132</v>
      </c>
      <c r="D7" s="4">
        <v>7000</v>
      </c>
      <c r="E7" s="2" t="s">
        <v>137</v>
      </c>
      <c r="F7" s="2">
        <v>45615</v>
      </c>
      <c r="W7" s="1" t="str">
        <f t="shared" si="1"/>
        <v>NON LIVRE</v>
      </c>
      <c r="X7" s="1" t="str">
        <f t="shared" si="2"/>
        <v>NON LIVRE</v>
      </c>
      <c r="Y7" s="1" t="str">
        <f t="shared" si="3"/>
        <v>NON LIVRE</v>
      </c>
      <c r="Z7" s="1" t="str">
        <f t="shared" si="4"/>
        <v>NON LIVRE</v>
      </c>
      <c r="AA7" s="1" t="str">
        <f t="shared" si="5"/>
        <v>NON LIVRE</v>
      </c>
      <c r="AB7" s="1" t="str">
        <f t="shared" si="6"/>
        <v>NON LIVRE</v>
      </c>
      <c r="AC7" s="1" t="str">
        <f t="shared" si="7"/>
        <v>NON LIVRE</v>
      </c>
      <c r="AD7" s="1" t="str">
        <f t="shared" si="8"/>
        <v>NON LIVRE</v>
      </c>
      <c r="AE7" s="1" t="str">
        <f t="shared" si="9"/>
        <v>NON LIVRE</v>
      </c>
      <c r="AF7" s="1" t="str">
        <f t="shared" si="10"/>
        <v>NON LIVRE</v>
      </c>
      <c r="AG7" s="1" t="str">
        <f t="shared" si="11"/>
        <v>NON LIVRE</v>
      </c>
      <c r="AH7" s="1" t="str">
        <f t="shared" si="12"/>
        <v>NON LIVRE</v>
      </c>
      <c r="AI7" s="1" t="str">
        <f t="shared" si="13"/>
        <v>NON LIVRE</v>
      </c>
      <c r="AJ7" s="1" t="str">
        <f t="shared" si="14"/>
        <v>NON LIVRE</v>
      </c>
      <c r="AK7" s="1" t="str">
        <f t="shared" si="18"/>
        <v>NON LIVRE</v>
      </c>
      <c r="AL7" s="1" t="str">
        <f t="shared" si="16"/>
        <v>NON LIVRE</v>
      </c>
      <c r="AM7" s="1" t="str">
        <f t="shared" si="0"/>
        <v>NON LIVRE</v>
      </c>
      <c r="AN7" s="1" t="str">
        <f t="shared" si="17"/>
        <v>NON LIVRE</v>
      </c>
    </row>
    <row r="8" spans="1:40" hidden="1" x14ac:dyDescent="0.3">
      <c r="A8" s="1">
        <v>25022</v>
      </c>
      <c r="B8" s="1" t="s">
        <v>13</v>
      </c>
      <c r="C8" s="3" t="s">
        <v>14</v>
      </c>
      <c r="D8" s="4">
        <v>10000</v>
      </c>
      <c r="E8" s="2" t="s">
        <v>133</v>
      </c>
      <c r="F8" s="2">
        <v>45694</v>
      </c>
      <c r="G8" s="2">
        <v>45698</v>
      </c>
      <c r="H8" s="2">
        <v>45750</v>
      </c>
      <c r="I8" s="2">
        <v>45803</v>
      </c>
      <c r="J8" s="2">
        <v>45749</v>
      </c>
      <c r="K8" s="2">
        <v>45733</v>
      </c>
      <c r="L8" s="2">
        <v>45838</v>
      </c>
      <c r="M8" s="2">
        <v>45722</v>
      </c>
      <c r="N8" s="2">
        <v>45835</v>
      </c>
      <c r="O8" s="2">
        <v>45841</v>
      </c>
      <c r="P8" s="2">
        <v>45891</v>
      </c>
      <c r="Q8" s="2">
        <v>45891</v>
      </c>
      <c r="R8" s="2">
        <v>45968</v>
      </c>
      <c r="S8" s="1">
        <v>4</v>
      </c>
      <c r="T8" s="3" t="s">
        <v>320</v>
      </c>
      <c r="W8" s="1">
        <f t="shared" si="1"/>
        <v>196</v>
      </c>
      <c r="X8" s="1">
        <f t="shared" si="2"/>
        <v>141</v>
      </c>
      <c r="Y8" s="1">
        <f t="shared" si="3"/>
        <v>0</v>
      </c>
      <c r="Z8" s="1">
        <f t="shared" si="4"/>
        <v>101</v>
      </c>
      <c r="AA8" s="1">
        <f t="shared" si="5"/>
        <v>2</v>
      </c>
      <c r="AB8" s="1">
        <f t="shared" si="6"/>
        <v>38</v>
      </c>
      <c r="AC8" s="1">
        <f t="shared" si="7"/>
        <v>61</v>
      </c>
      <c r="AD8" s="1">
        <f t="shared" si="8"/>
        <v>105</v>
      </c>
      <c r="AE8" s="1">
        <f t="shared" si="9"/>
        <v>102</v>
      </c>
      <c r="AF8" s="1">
        <f t="shared" si="10"/>
        <v>27</v>
      </c>
      <c r="AG8" s="1">
        <f t="shared" si="11"/>
        <v>20</v>
      </c>
      <c r="AH8" s="1">
        <f t="shared" si="12"/>
        <v>77</v>
      </c>
      <c r="AI8" s="1">
        <f t="shared" si="13"/>
        <v>39</v>
      </c>
      <c r="AJ8" s="1">
        <f t="shared" si="14"/>
        <v>25</v>
      </c>
      <c r="AK8" s="1">
        <f t="shared" si="18"/>
        <v>3</v>
      </c>
      <c r="AL8" s="1">
        <f t="shared" si="16"/>
        <v>4</v>
      </c>
      <c r="AM8" s="1">
        <f t="shared" si="0"/>
        <v>36</v>
      </c>
      <c r="AN8" s="1">
        <f t="shared" si="17"/>
        <v>55</v>
      </c>
    </row>
    <row r="9" spans="1:40" hidden="1" x14ac:dyDescent="0.3">
      <c r="A9" s="1">
        <v>25030</v>
      </c>
      <c r="B9" s="1" t="s">
        <v>13</v>
      </c>
      <c r="C9" s="3" t="s">
        <v>15</v>
      </c>
      <c r="D9" s="4">
        <v>10000</v>
      </c>
      <c r="E9" s="2" t="s">
        <v>133</v>
      </c>
      <c r="F9" s="2">
        <v>45706</v>
      </c>
      <c r="G9" s="2">
        <v>45707</v>
      </c>
      <c r="H9" s="2">
        <v>45750</v>
      </c>
      <c r="I9" s="2">
        <v>45848</v>
      </c>
      <c r="J9" s="2">
        <v>45803</v>
      </c>
      <c r="K9" s="2">
        <v>45728</v>
      </c>
      <c r="L9" s="2">
        <v>45838</v>
      </c>
      <c r="M9" s="2">
        <v>45754</v>
      </c>
      <c r="N9" s="2">
        <v>45814</v>
      </c>
      <c r="O9" s="2">
        <v>45854</v>
      </c>
      <c r="P9" s="2">
        <v>45912</v>
      </c>
      <c r="Q9" s="2">
        <v>45912</v>
      </c>
      <c r="R9" s="2">
        <v>45961</v>
      </c>
      <c r="S9" s="1">
        <v>7</v>
      </c>
      <c r="T9" s="3" t="s">
        <v>320</v>
      </c>
      <c r="W9" s="1">
        <f t="shared" si="1"/>
        <v>183</v>
      </c>
      <c r="X9" s="1">
        <f t="shared" si="2"/>
        <v>148</v>
      </c>
      <c r="Y9" s="1">
        <f t="shared" si="3"/>
        <v>0</v>
      </c>
      <c r="Z9" s="1">
        <f t="shared" si="4"/>
        <v>78</v>
      </c>
      <c r="AA9" s="1">
        <f t="shared" si="5"/>
        <v>1</v>
      </c>
      <c r="AB9" s="1">
        <f t="shared" si="6"/>
        <v>31</v>
      </c>
      <c r="AC9" s="1">
        <f t="shared" si="7"/>
        <v>46</v>
      </c>
      <c r="AD9" s="1">
        <f>IFERROR(IF($R9="","NON LIVRE",IF($O9="","PAS DE DEPART TIRAGES OU ACHATS",NETWORKDAYS($F9,$O9)-1)),$O9)</f>
        <v>106</v>
      </c>
      <c r="AE9" s="1">
        <f t="shared" si="9"/>
        <v>94</v>
      </c>
      <c r="AF9" s="1">
        <f t="shared" si="10"/>
        <v>16</v>
      </c>
      <c r="AG9" s="1">
        <f t="shared" si="11"/>
        <v>34</v>
      </c>
      <c r="AH9" s="1">
        <f t="shared" si="12"/>
        <v>102</v>
      </c>
      <c r="AI9" s="1">
        <f t="shared" si="13"/>
        <v>69</v>
      </c>
      <c r="AJ9" s="1">
        <f t="shared" si="14"/>
        <v>-10</v>
      </c>
      <c r="AK9" s="1">
        <f t="shared" si="18"/>
        <v>12</v>
      </c>
      <c r="AL9" s="1">
        <f t="shared" si="16"/>
        <v>28</v>
      </c>
      <c r="AM9" s="1">
        <f t="shared" si="0"/>
        <v>42</v>
      </c>
      <c r="AN9" s="1">
        <f t="shared" si="17"/>
        <v>35</v>
      </c>
    </row>
    <row r="10" spans="1:40" hidden="1" x14ac:dyDescent="0.3">
      <c r="A10" s="1">
        <v>25031</v>
      </c>
      <c r="B10" s="1" t="s">
        <v>13</v>
      </c>
      <c r="C10" s="3" t="s">
        <v>16</v>
      </c>
      <c r="D10" s="4">
        <v>20000</v>
      </c>
      <c r="E10" s="2" t="s">
        <v>135</v>
      </c>
      <c r="F10" s="2">
        <v>45706</v>
      </c>
      <c r="G10" s="2">
        <v>45707</v>
      </c>
      <c r="H10" s="2">
        <v>45750</v>
      </c>
      <c r="I10" s="2">
        <v>45835</v>
      </c>
      <c r="J10" s="2">
        <v>45803</v>
      </c>
      <c r="K10" s="2">
        <v>45728</v>
      </c>
      <c r="L10" s="2">
        <v>45839</v>
      </c>
      <c r="N10" s="2">
        <v>45814</v>
      </c>
      <c r="O10" s="2">
        <v>45840</v>
      </c>
      <c r="P10" s="2">
        <v>45863</v>
      </c>
      <c r="Q10" s="2">
        <v>45863</v>
      </c>
      <c r="R10" s="2">
        <v>45961</v>
      </c>
      <c r="S10" s="1">
        <v>10</v>
      </c>
      <c r="T10" s="3" t="s">
        <v>320</v>
      </c>
      <c r="U10" s="1" t="s">
        <v>321</v>
      </c>
      <c r="W10" s="1">
        <f t="shared" si="1"/>
        <v>183</v>
      </c>
      <c r="X10" s="1">
        <f t="shared" si="2"/>
        <v>113</v>
      </c>
      <c r="Y10" s="1">
        <f t="shared" si="3"/>
        <v>0</v>
      </c>
      <c r="Z10" s="1">
        <f t="shared" si="4"/>
        <v>78</v>
      </c>
      <c r="AA10" s="1">
        <f t="shared" si="5"/>
        <v>1</v>
      </c>
      <c r="AB10" s="1">
        <f t="shared" si="6"/>
        <v>31</v>
      </c>
      <c r="AC10" s="1">
        <f t="shared" si="7"/>
        <v>46</v>
      </c>
      <c r="AD10" s="1">
        <f t="shared" si="8"/>
        <v>96</v>
      </c>
      <c r="AE10" s="1">
        <f t="shared" si="9"/>
        <v>95</v>
      </c>
      <c r="AF10" s="1">
        <f t="shared" si="10"/>
        <v>16</v>
      </c>
      <c r="AG10" s="1" t="str">
        <f t="shared" si="11"/>
        <v>PAS DE DATE CARTON</v>
      </c>
      <c r="AH10" s="1">
        <f t="shared" si="12"/>
        <v>93</v>
      </c>
      <c r="AI10" s="1">
        <f t="shared" si="13"/>
        <v>69</v>
      </c>
      <c r="AJ10" s="1">
        <f t="shared" si="14"/>
        <v>2</v>
      </c>
      <c r="AK10" s="1">
        <f t="shared" si="18"/>
        <v>1</v>
      </c>
      <c r="AL10" s="1">
        <f t="shared" si="16"/>
        <v>18</v>
      </c>
      <c r="AM10" s="1">
        <f t="shared" si="0"/>
        <v>17</v>
      </c>
      <c r="AN10" s="1">
        <f t="shared" si="17"/>
        <v>70</v>
      </c>
    </row>
    <row r="11" spans="1:40" hidden="1" x14ac:dyDescent="0.3">
      <c r="A11" s="1">
        <v>25032</v>
      </c>
      <c r="B11" s="1" t="s">
        <v>17</v>
      </c>
      <c r="C11" s="3" t="s">
        <v>18</v>
      </c>
      <c r="D11" s="4">
        <v>7000</v>
      </c>
      <c r="E11" s="2" t="s">
        <v>134</v>
      </c>
      <c r="F11" s="2">
        <v>45706</v>
      </c>
      <c r="G11" s="2">
        <v>45786</v>
      </c>
      <c r="H11" s="2">
        <v>45862</v>
      </c>
      <c r="I11" s="2">
        <v>45861</v>
      </c>
      <c r="J11" s="2">
        <v>45898</v>
      </c>
      <c r="L11" s="2">
        <v>45881</v>
      </c>
      <c r="M11" s="2">
        <v>45754</v>
      </c>
      <c r="N11" s="2">
        <v>45895</v>
      </c>
      <c r="O11" s="2">
        <v>45897</v>
      </c>
      <c r="P11" s="2">
        <v>45926</v>
      </c>
      <c r="Q11" s="2">
        <v>45926</v>
      </c>
      <c r="R11" s="2">
        <v>45947</v>
      </c>
      <c r="S11" s="1">
        <v>4</v>
      </c>
      <c r="W11" s="1">
        <f t="shared" si="1"/>
        <v>173</v>
      </c>
      <c r="X11" s="1">
        <f t="shared" si="2"/>
        <v>158</v>
      </c>
      <c r="Y11" s="1">
        <f t="shared" si="3"/>
        <v>0</v>
      </c>
      <c r="Z11" s="1">
        <f t="shared" si="4"/>
        <v>135</v>
      </c>
      <c r="AA11" s="1">
        <f t="shared" si="5"/>
        <v>58</v>
      </c>
      <c r="AB11" s="1">
        <f t="shared" si="6"/>
        <v>54</v>
      </c>
      <c r="AC11" s="1">
        <f t="shared" si="7"/>
        <v>23</v>
      </c>
      <c r="AD11" s="1">
        <f t="shared" si="8"/>
        <v>137</v>
      </c>
      <c r="AE11" s="1">
        <f t="shared" si="9"/>
        <v>125</v>
      </c>
      <c r="AF11" s="1" t="str">
        <f t="shared" si="10"/>
        <v>PAS DE DATE PAPIER</v>
      </c>
      <c r="AG11" s="1">
        <f t="shared" si="11"/>
        <v>34</v>
      </c>
      <c r="AH11" s="1">
        <f t="shared" si="12"/>
        <v>111</v>
      </c>
      <c r="AI11" s="1">
        <f t="shared" si="13"/>
        <v>138</v>
      </c>
      <c r="AJ11" s="1">
        <f t="shared" si="14"/>
        <v>-15</v>
      </c>
      <c r="AK11" s="1">
        <f t="shared" si="18"/>
        <v>12</v>
      </c>
      <c r="AL11" s="1">
        <f t="shared" si="16"/>
        <v>2</v>
      </c>
      <c r="AM11" s="1">
        <f t="shared" si="0"/>
        <v>21</v>
      </c>
      <c r="AN11" s="1">
        <f t="shared" si="17"/>
        <v>15</v>
      </c>
    </row>
    <row r="12" spans="1:40" hidden="1" x14ac:dyDescent="0.3">
      <c r="A12" s="1">
        <v>25034</v>
      </c>
      <c r="B12" s="1" t="s">
        <v>17</v>
      </c>
      <c r="C12" s="3" t="s">
        <v>19</v>
      </c>
      <c r="D12" s="4">
        <v>1000</v>
      </c>
      <c r="E12" s="2" t="s">
        <v>136</v>
      </c>
      <c r="F12" s="2">
        <v>45706</v>
      </c>
      <c r="G12" s="2">
        <v>45783</v>
      </c>
      <c r="H12" s="2">
        <v>45873</v>
      </c>
      <c r="I12" s="2">
        <v>45895</v>
      </c>
      <c r="J12" s="2">
        <v>45875</v>
      </c>
      <c r="L12" s="2">
        <v>45903</v>
      </c>
      <c r="M12" s="2">
        <v>45722</v>
      </c>
      <c r="N12" s="2">
        <v>45898</v>
      </c>
      <c r="O12" s="2">
        <v>45905</v>
      </c>
      <c r="P12" s="2">
        <v>45926</v>
      </c>
      <c r="Q12" s="2">
        <v>45926</v>
      </c>
      <c r="R12" s="2">
        <f>Q12</f>
        <v>45926</v>
      </c>
      <c r="S12" s="1">
        <v>1</v>
      </c>
      <c r="W12" s="1">
        <f t="shared" si="1"/>
        <v>158</v>
      </c>
      <c r="X12" s="1">
        <f t="shared" si="2"/>
        <v>158</v>
      </c>
      <c r="Y12" s="1">
        <f t="shared" si="3"/>
        <v>0</v>
      </c>
      <c r="Z12" s="1">
        <f t="shared" si="4"/>
        <v>138</v>
      </c>
      <c r="AA12" s="1">
        <f t="shared" si="5"/>
        <v>55</v>
      </c>
      <c r="AB12" s="1">
        <f t="shared" si="6"/>
        <v>64</v>
      </c>
      <c r="AC12" s="1">
        <f t="shared" si="7"/>
        <v>19</v>
      </c>
      <c r="AD12" s="1">
        <f t="shared" si="8"/>
        <v>143</v>
      </c>
      <c r="AE12" s="1">
        <f t="shared" si="9"/>
        <v>141</v>
      </c>
      <c r="AF12" s="1" t="str">
        <f t="shared" si="10"/>
        <v>PAS DE DATE PAPIER</v>
      </c>
      <c r="AG12" s="1">
        <f t="shared" si="11"/>
        <v>12</v>
      </c>
      <c r="AH12" s="1">
        <f t="shared" si="12"/>
        <v>135</v>
      </c>
      <c r="AI12" s="1">
        <f t="shared" si="13"/>
        <v>121</v>
      </c>
      <c r="AJ12" s="1">
        <f t="shared" si="14"/>
        <v>6</v>
      </c>
      <c r="AK12" s="1">
        <f t="shared" si="18"/>
        <v>2</v>
      </c>
      <c r="AL12" s="1">
        <f t="shared" si="16"/>
        <v>5</v>
      </c>
      <c r="AM12" s="1">
        <f t="shared" si="0"/>
        <v>15</v>
      </c>
      <c r="AN12" s="1">
        <f t="shared" si="17"/>
        <v>0</v>
      </c>
    </row>
    <row r="13" spans="1:40" hidden="1" x14ac:dyDescent="0.3">
      <c r="A13" s="1">
        <v>25037</v>
      </c>
      <c r="B13" s="1" t="s">
        <v>20</v>
      </c>
      <c r="C13" s="3" t="s">
        <v>21</v>
      </c>
      <c r="D13" s="4">
        <v>2000</v>
      </c>
      <c r="E13" s="2" t="s">
        <v>133</v>
      </c>
      <c r="F13" s="2">
        <v>45721</v>
      </c>
      <c r="G13" s="2">
        <v>45713</v>
      </c>
      <c r="H13" s="2">
        <v>45828</v>
      </c>
      <c r="I13" s="2">
        <v>45838</v>
      </c>
      <c r="J13" s="2">
        <v>45713</v>
      </c>
      <c r="K13" s="2">
        <v>45740</v>
      </c>
      <c r="L13" s="2">
        <v>45839</v>
      </c>
      <c r="M13" s="2">
        <v>45765</v>
      </c>
      <c r="N13" s="2">
        <v>45839</v>
      </c>
      <c r="O13" s="2">
        <v>45848</v>
      </c>
      <c r="P13" s="2">
        <v>45898</v>
      </c>
      <c r="Q13" s="2">
        <v>45898</v>
      </c>
      <c r="R13" s="2">
        <v>45940</v>
      </c>
      <c r="S13" s="1">
        <v>4</v>
      </c>
      <c r="T13" s="3" t="s">
        <v>319</v>
      </c>
      <c r="V13" s="1" t="s">
        <v>322</v>
      </c>
      <c r="W13" s="1">
        <f t="shared" si="1"/>
        <v>157</v>
      </c>
      <c r="X13" s="1">
        <f t="shared" si="2"/>
        <v>127</v>
      </c>
      <c r="Y13" s="1">
        <f t="shared" si="3"/>
        <v>0</v>
      </c>
      <c r="Z13" s="1">
        <f t="shared" si="4"/>
        <v>84</v>
      </c>
      <c r="AA13" s="1">
        <f t="shared" si="5"/>
        <v>-8</v>
      </c>
      <c r="AB13" s="1">
        <f t="shared" si="6"/>
        <v>83</v>
      </c>
      <c r="AC13" s="1">
        <f t="shared" si="7"/>
        <v>7</v>
      </c>
      <c r="AD13" s="1">
        <f t="shared" si="8"/>
        <v>91</v>
      </c>
      <c r="AE13" s="1">
        <f t="shared" si="9"/>
        <v>84</v>
      </c>
      <c r="AF13" s="1">
        <f t="shared" si="10"/>
        <v>13</v>
      </c>
      <c r="AG13" s="1">
        <f t="shared" si="11"/>
        <v>32</v>
      </c>
      <c r="AH13" s="1">
        <f t="shared" si="12"/>
        <v>83</v>
      </c>
      <c r="AI13" s="1">
        <f t="shared" si="13"/>
        <v>-8</v>
      </c>
      <c r="AJ13" s="1">
        <f t="shared" si="14"/>
        <v>1</v>
      </c>
      <c r="AK13" s="1">
        <f t="shared" si="18"/>
        <v>7</v>
      </c>
      <c r="AL13" s="1">
        <f t="shared" si="16"/>
        <v>7</v>
      </c>
      <c r="AM13" s="1">
        <f t="shared" si="0"/>
        <v>36</v>
      </c>
      <c r="AN13" s="1">
        <f t="shared" si="17"/>
        <v>30</v>
      </c>
    </row>
    <row r="14" spans="1:40" x14ac:dyDescent="0.3">
      <c r="A14" s="1">
        <v>25040</v>
      </c>
      <c r="B14" s="1" t="s">
        <v>17</v>
      </c>
      <c r="C14" s="3" t="s">
        <v>138</v>
      </c>
      <c r="D14" s="4" t="s">
        <v>22</v>
      </c>
      <c r="E14" s="2" t="s">
        <v>133</v>
      </c>
      <c r="F14" s="2">
        <v>45726</v>
      </c>
      <c r="G14" s="2">
        <v>45792</v>
      </c>
      <c r="H14" s="2">
        <v>45855</v>
      </c>
      <c r="I14" s="2">
        <v>45775</v>
      </c>
      <c r="J14" s="2">
        <v>45792</v>
      </c>
      <c r="K14" s="2">
        <v>45749</v>
      </c>
      <c r="L14" s="2">
        <v>45792</v>
      </c>
      <c r="M14" s="2">
        <v>45754</v>
      </c>
      <c r="N14" s="2">
        <v>45855</v>
      </c>
      <c r="O14" s="2">
        <v>45792</v>
      </c>
      <c r="P14" s="2">
        <v>45982</v>
      </c>
      <c r="Q14" s="2">
        <v>45968</v>
      </c>
      <c r="R14" s="2">
        <v>45975</v>
      </c>
      <c r="S14" s="1">
        <v>2</v>
      </c>
      <c r="T14" s="3" t="s">
        <v>320</v>
      </c>
      <c r="V14" s="1" t="s">
        <v>324</v>
      </c>
      <c r="W14" s="1">
        <f t="shared" si="1"/>
        <v>179</v>
      </c>
      <c r="X14" s="1">
        <f t="shared" si="2"/>
        <v>174</v>
      </c>
      <c r="Y14" s="1">
        <f t="shared" si="3"/>
        <v>-12</v>
      </c>
      <c r="Z14" s="1">
        <f t="shared" si="4"/>
        <v>93</v>
      </c>
      <c r="AA14" s="1">
        <f>IFERROR(IF($R14="","NON LIVRE",IF($G14="","PAS DE COMMANDE MATIERE",NETWORKDAYS($F14,$G14)-1)),$G14)</f>
        <v>48</v>
      </c>
      <c r="AB14" s="1">
        <f t="shared" si="6"/>
        <v>45</v>
      </c>
      <c r="AC14" s="1">
        <f t="shared" si="7"/>
        <v>0</v>
      </c>
      <c r="AD14" s="1">
        <f t="shared" si="8"/>
        <v>48</v>
      </c>
      <c r="AE14" s="1">
        <f t="shared" si="9"/>
        <v>48</v>
      </c>
      <c r="AF14" s="1">
        <f t="shared" si="10"/>
        <v>17</v>
      </c>
      <c r="AG14" s="1">
        <f t="shared" si="11"/>
        <v>20</v>
      </c>
      <c r="AH14" s="1">
        <f t="shared" si="12"/>
        <v>35</v>
      </c>
      <c r="AI14" s="1">
        <f t="shared" si="13"/>
        <v>48</v>
      </c>
      <c r="AJ14" s="1">
        <f t="shared" si="14"/>
        <v>0</v>
      </c>
      <c r="AK14" s="1">
        <f t="shared" si="18"/>
        <v>0</v>
      </c>
      <c r="AL14" s="1">
        <f t="shared" si="16"/>
        <v>45</v>
      </c>
      <c r="AM14" s="1">
        <f t="shared" si="0"/>
        <v>81</v>
      </c>
      <c r="AN14" s="1">
        <f t="shared" si="17"/>
        <v>5</v>
      </c>
    </row>
    <row r="15" spans="1:40" x14ac:dyDescent="0.3">
      <c r="A15" s="1">
        <v>25040</v>
      </c>
      <c r="B15" s="1" t="s">
        <v>17</v>
      </c>
      <c r="C15" s="3" t="s">
        <v>139</v>
      </c>
      <c r="D15" s="4" t="s">
        <v>23</v>
      </c>
      <c r="E15" s="2" t="s">
        <v>133</v>
      </c>
      <c r="F15" s="2">
        <v>45726</v>
      </c>
      <c r="G15" s="2">
        <v>45792</v>
      </c>
      <c r="H15" s="2">
        <v>45855</v>
      </c>
      <c r="I15" s="2">
        <v>45775</v>
      </c>
      <c r="J15" s="2">
        <v>45792</v>
      </c>
      <c r="K15" s="2">
        <v>45840</v>
      </c>
      <c r="L15" s="2">
        <v>45792</v>
      </c>
      <c r="M15" s="2">
        <v>45754</v>
      </c>
      <c r="N15" s="2">
        <v>45855</v>
      </c>
      <c r="O15" s="2">
        <v>45792</v>
      </c>
      <c r="P15" s="2">
        <v>45856</v>
      </c>
      <c r="Q15" s="2">
        <v>45856</v>
      </c>
      <c r="R15" s="2">
        <v>45996</v>
      </c>
      <c r="S15" s="1">
        <v>6</v>
      </c>
      <c r="T15" s="3" t="s">
        <v>320</v>
      </c>
      <c r="V15" s="1" t="s">
        <v>324</v>
      </c>
      <c r="W15" s="1">
        <f t="shared" si="1"/>
        <v>194</v>
      </c>
      <c r="X15" s="1">
        <f t="shared" si="2"/>
        <v>94</v>
      </c>
      <c r="Y15" s="1">
        <f t="shared" si="3"/>
        <v>0</v>
      </c>
      <c r="Z15" s="1">
        <f t="shared" si="4"/>
        <v>93</v>
      </c>
      <c r="AA15" s="1">
        <f t="shared" si="5"/>
        <v>48</v>
      </c>
      <c r="AB15" s="1">
        <f t="shared" si="6"/>
        <v>45</v>
      </c>
      <c r="AC15" s="1">
        <f t="shared" si="7"/>
        <v>0</v>
      </c>
      <c r="AD15" s="1">
        <f t="shared" si="8"/>
        <v>48</v>
      </c>
      <c r="AE15" s="1">
        <f t="shared" si="9"/>
        <v>48</v>
      </c>
      <c r="AF15" s="1">
        <f t="shared" si="10"/>
        <v>82</v>
      </c>
      <c r="AG15" s="1">
        <f t="shared" si="11"/>
        <v>20</v>
      </c>
      <c r="AH15" s="1">
        <f t="shared" si="12"/>
        <v>35</v>
      </c>
      <c r="AI15" s="1">
        <f t="shared" si="13"/>
        <v>48</v>
      </c>
      <c r="AJ15" s="1">
        <f t="shared" si="14"/>
        <v>0</v>
      </c>
      <c r="AK15" s="1">
        <f t="shared" si="18"/>
        <v>0</v>
      </c>
      <c r="AL15" s="1">
        <f t="shared" si="16"/>
        <v>45</v>
      </c>
      <c r="AM15" s="1">
        <f t="shared" si="0"/>
        <v>1</v>
      </c>
      <c r="AN15" s="1">
        <f t="shared" si="17"/>
        <v>100</v>
      </c>
    </row>
    <row r="16" spans="1:40" hidden="1" x14ac:dyDescent="0.3">
      <c r="A16" s="1">
        <v>25045</v>
      </c>
      <c r="B16" s="1" t="s">
        <v>24</v>
      </c>
      <c r="C16" s="3" t="s">
        <v>25</v>
      </c>
      <c r="D16" s="4">
        <v>1000</v>
      </c>
      <c r="E16" s="2" t="s">
        <v>136</v>
      </c>
      <c r="F16" s="2">
        <v>45729</v>
      </c>
      <c r="G16" s="2">
        <v>45775</v>
      </c>
      <c r="I16" s="2">
        <v>45796</v>
      </c>
      <c r="M16" s="2">
        <v>45754</v>
      </c>
      <c r="V16" s="1" t="s">
        <v>325</v>
      </c>
      <c r="W16" s="1" t="str">
        <f t="shared" si="1"/>
        <v>NON LIVRE</v>
      </c>
      <c r="X16" s="1" t="str">
        <f t="shared" si="2"/>
        <v>NON LIVRE</v>
      </c>
      <c r="Y16" s="1" t="str">
        <f t="shared" si="3"/>
        <v>NON LIVRE</v>
      </c>
      <c r="Z16" s="1" t="str">
        <f t="shared" si="4"/>
        <v>NON LIVRE</v>
      </c>
      <c r="AA16" s="1" t="str">
        <f t="shared" si="5"/>
        <v>NON LIVRE</v>
      </c>
      <c r="AB16" s="1" t="str">
        <f t="shared" si="6"/>
        <v>NON LIVRE</v>
      </c>
      <c r="AC16" s="1" t="str">
        <f t="shared" si="7"/>
        <v>NON LIVRE</v>
      </c>
      <c r="AD16" s="1" t="str">
        <f t="shared" si="8"/>
        <v>NON LIVRE</v>
      </c>
      <c r="AE16" s="1" t="str">
        <f t="shared" si="9"/>
        <v>NON LIVRE</v>
      </c>
      <c r="AF16" s="1" t="str">
        <f t="shared" si="10"/>
        <v>NON LIVRE</v>
      </c>
      <c r="AG16" s="1" t="str">
        <f t="shared" si="11"/>
        <v>NON LIVRE</v>
      </c>
      <c r="AH16" s="1" t="str">
        <f t="shared" si="12"/>
        <v>NON LIVRE</v>
      </c>
      <c r="AI16" s="1" t="str">
        <f t="shared" si="13"/>
        <v>NON LIVRE</v>
      </c>
      <c r="AJ16" s="1" t="str">
        <f t="shared" si="14"/>
        <v>NON LIVRE</v>
      </c>
      <c r="AK16" s="1" t="str">
        <f t="shared" si="18"/>
        <v>NON LIVRE</v>
      </c>
      <c r="AL16" s="1" t="str">
        <f t="shared" si="16"/>
        <v>NON LIVRE</v>
      </c>
      <c r="AM16" s="1" t="str">
        <f t="shared" si="0"/>
        <v>NON LIVRE</v>
      </c>
      <c r="AN16" s="1" t="str">
        <f t="shared" si="17"/>
        <v>NON LIVRE</v>
      </c>
    </row>
    <row r="17" spans="1:40" hidden="1" x14ac:dyDescent="0.3">
      <c r="A17" s="1">
        <v>25056</v>
      </c>
      <c r="B17" s="1" t="s">
        <v>17</v>
      </c>
      <c r="C17" s="3" t="s">
        <v>370</v>
      </c>
      <c r="D17" s="4">
        <v>5000</v>
      </c>
      <c r="F17" s="2">
        <v>45747</v>
      </c>
      <c r="G17" s="2" t="s">
        <v>369</v>
      </c>
      <c r="H17" s="2">
        <v>45797</v>
      </c>
      <c r="I17" s="2">
        <v>45757</v>
      </c>
      <c r="J17" s="2">
        <v>45764</v>
      </c>
      <c r="K17" s="2">
        <v>45765</v>
      </c>
      <c r="L17" s="2">
        <v>45776</v>
      </c>
      <c r="M17" s="2">
        <v>45783</v>
      </c>
      <c r="N17" s="2">
        <v>45975</v>
      </c>
      <c r="O17" s="2">
        <v>45793</v>
      </c>
      <c r="P17" s="2">
        <v>45821</v>
      </c>
      <c r="Q17" s="2">
        <v>45821</v>
      </c>
      <c r="R17" s="2">
        <v>45989</v>
      </c>
      <c r="S17" s="1">
        <v>5</v>
      </c>
      <c r="W17" s="1">
        <f t="shared" si="1"/>
        <v>174</v>
      </c>
      <c r="X17" s="1">
        <f t="shared" si="2"/>
        <v>54</v>
      </c>
      <c r="Y17" s="1">
        <f t="shared" si="3"/>
        <v>0</v>
      </c>
      <c r="Z17" s="1">
        <f t="shared" si="4"/>
        <v>164</v>
      </c>
      <c r="AA17" s="1" t="str">
        <f t="shared" si="5"/>
        <v>DEVIS</v>
      </c>
      <c r="AB17" s="1">
        <f t="shared" si="6"/>
        <v>45797</v>
      </c>
      <c r="AC17" s="1">
        <f t="shared" si="7"/>
        <v>128</v>
      </c>
      <c r="AD17" s="1">
        <f t="shared" si="8"/>
        <v>34</v>
      </c>
      <c r="AE17" s="1">
        <f t="shared" si="9"/>
        <v>21</v>
      </c>
      <c r="AF17" s="1">
        <f t="shared" si="10"/>
        <v>14</v>
      </c>
      <c r="AG17" s="1">
        <f t="shared" si="11"/>
        <v>26</v>
      </c>
      <c r="AH17" s="1">
        <f t="shared" si="12"/>
        <v>8</v>
      </c>
      <c r="AI17" s="1">
        <f t="shared" si="13"/>
        <v>13</v>
      </c>
      <c r="AJ17" s="1">
        <f t="shared" si="14"/>
        <v>8</v>
      </c>
      <c r="AK17" s="1">
        <f t="shared" si="18"/>
        <v>13</v>
      </c>
      <c r="AL17" s="1">
        <f t="shared" si="16"/>
        <v>130</v>
      </c>
      <c r="AM17" s="1">
        <f>IFERROR(IF($R17="","NON LIVRE",IF(MAX($N17,$O17)=0,"PAS D'EXPEDITION DE MATIERE, D'IMPRESSION, OU D'ACHAT",NETWORKDAYS(MAX($N17,$O17),$Q17)-1)),"PAS D'EXPEDITION DE MATIERE, D'IMPRESSION, OU D'ACHAT")</f>
        <v>-112</v>
      </c>
      <c r="AN17" s="1">
        <f t="shared" si="17"/>
        <v>120</v>
      </c>
    </row>
    <row r="18" spans="1:40" hidden="1" x14ac:dyDescent="0.3">
      <c r="A18" s="1">
        <v>25063</v>
      </c>
      <c r="B18" s="1" t="s">
        <v>17</v>
      </c>
      <c r="C18" s="3" t="s">
        <v>26</v>
      </c>
      <c r="D18" s="4">
        <v>1870</v>
      </c>
      <c r="E18" s="2" t="s">
        <v>140</v>
      </c>
      <c r="F18" s="2">
        <v>45754</v>
      </c>
      <c r="G18" s="2">
        <v>45783</v>
      </c>
      <c r="H18" s="2">
        <v>45834</v>
      </c>
      <c r="I18" s="2">
        <v>45863</v>
      </c>
      <c r="J18" s="2">
        <v>45903</v>
      </c>
      <c r="L18" s="2">
        <v>45910</v>
      </c>
      <c r="M18" s="2">
        <v>45783</v>
      </c>
      <c r="N18" s="2">
        <v>45918</v>
      </c>
      <c r="O18" s="2">
        <v>45919</v>
      </c>
      <c r="P18" s="2">
        <v>45947</v>
      </c>
      <c r="Q18" s="2">
        <v>45954</v>
      </c>
      <c r="R18" s="2">
        <v>45989</v>
      </c>
      <c r="S18" s="1">
        <v>1</v>
      </c>
      <c r="T18" s="3" t="s">
        <v>319</v>
      </c>
      <c r="V18" s="1" t="s">
        <v>326</v>
      </c>
      <c r="W18" s="1">
        <f t="shared" si="1"/>
        <v>169</v>
      </c>
      <c r="X18" s="1">
        <f t="shared" si="2"/>
        <v>144</v>
      </c>
      <c r="Y18" s="1">
        <f t="shared" si="3"/>
        <v>5</v>
      </c>
      <c r="Z18" s="1">
        <f t="shared" si="4"/>
        <v>118</v>
      </c>
      <c r="AA18" s="1">
        <f t="shared" si="5"/>
        <v>21</v>
      </c>
      <c r="AB18" s="1">
        <f t="shared" si="6"/>
        <v>37</v>
      </c>
      <c r="AC18" s="1">
        <f t="shared" si="7"/>
        <v>60</v>
      </c>
      <c r="AD18" s="1">
        <f t="shared" si="8"/>
        <v>119</v>
      </c>
      <c r="AE18" s="1">
        <f t="shared" si="9"/>
        <v>112</v>
      </c>
      <c r="AF18" s="1" t="str">
        <f t="shared" si="10"/>
        <v>PAS DE DATE PAPIER</v>
      </c>
      <c r="AG18" s="1">
        <f t="shared" si="11"/>
        <v>21</v>
      </c>
      <c r="AH18" s="1">
        <f t="shared" si="12"/>
        <v>79</v>
      </c>
      <c r="AI18" s="1">
        <f t="shared" si="13"/>
        <v>107</v>
      </c>
      <c r="AJ18" s="1">
        <f t="shared" si="14"/>
        <v>5</v>
      </c>
      <c r="AK18" s="1">
        <f t="shared" si="18"/>
        <v>7</v>
      </c>
      <c r="AL18" s="1">
        <f t="shared" si="16"/>
        <v>1</v>
      </c>
      <c r="AM18" s="1">
        <f t="shared" si="0"/>
        <v>25</v>
      </c>
      <c r="AN18" s="1">
        <f t="shared" si="17"/>
        <v>25</v>
      </c>
    </row>
    <row r="19" spans="1:40" hidden="1" x14ac:dyDescent="0.3">
      <c r="A19" s="1">
        <v>25066</v>
      </c>
      <c r="B19" s="1" t="s">
        <v>27</v>
      </c>
      <c r="C19" s="3" t="s">
        <v>28</v>
      </c>
      <c r="D19" s="4">
        <v>7000</v>
      </c>
      <c r="E19" s="2" t="s">
        <v>137</v>
      </c>
      <c r="F19" s="2">
        <v>45756</v>
      </c>
      <c r="G19" s="2">
        <v>45756</v>
      </c>
      <c r="H19" s="2">
        <v>45819</v>
      </c>
      <c r="I19" s="2">
        <v>45818</v>
      </c>
      <c r="J19" s="2">
        <v>45831</v>
      </c>
      <c r="L19" s="2">
        <v>45832</v>
      </c>
      <c r="N19" s="2">
        <v>45821</v>
      </c>
      <c r="O19" s="2">
        <v>45834</v>
      </c>
      <c r="P19" s="2">
        <v>45849</v>
      </c>
      <c r="Q19" s="2">
        <v>45849</v>
      </c>
      <c r="R19" s="2">
        <v>45933</v>
      </c>
      <c r="S19" s="1">
        <v>6</v>
      </c>
      <c r="T19" s="3" t="s">
        <v>327</v>
      </c>
      <c r="W19" s="1">
        <f t="shared" si="1"/>
        <v>127</v>
      </c>
      <c r="X19" s="1">
        <f t="shared" si="2"/>
        <v>67</v>
      </c>
      <c r="Y19" s="1">
        <f t="shared" si="3"/>
        <v>0</v>
      </c>
      <c r="Z19" s="1">
        <f t="shared" si="4"/>
        <v>47</v>
      </c>
      <c r="AA19" s="1">
        <f t="shared" si="5"/>
        <v>0</v>
      </c>
      <c r="AB19" s="1">
        <f t="shared" si="6"/>
        <v>45</v>
      </c>
      <c r="AC19" s="1">
        <f t="shared" si="7"/>
        <v>2</v>
      </c>
      <c r="AD19" s="1">
        <f t="shared" si="8"/>
        <v>56</v>
      </c>
      <c r="AE19" s="1">
        <f t="shared" si="9"/>
        <v>54</v>
      </c>
      <c r="AF19" s="1" t="str">
        <f t="shared" si="10"/>
        <v>PAS DE DATE PAPIER</v>
      </c>
      <c r="AG19" s="1" t="str">
        <f t="shared" si="11"/>
        <v>PAS DE DATE CARTON</v>
      </c>
      <c r="AH19" s="1">
        <f t="shared" si="12"/>
        <v>44</v>
      </c>
      <c r="AI19" s="1">
        <f t="shared" si="13"/>
        <v>53</v>
      </c>
      <c r="AJ19" s="1">
        <f t="shared" si="14"/>
        <v>1</v>
      </c>
      <c r="AK19" s="1">
        <f t="shared" si="18"/>
        <v>2</v>
      </c>
      <c r="AL19" s="1">
        <f t="shared" si="16"/>
        <v>9</v>
      </c>
      <c r="AM19" s="1">
        <f t="shared" si="0"/>
        <v>11</v>
      </c>
      <c r="AN19" s="1">
        <f t="shared" si="17"/>
        <v>60</v>
      </c>
    </row>
    <row r="20" spans="1:40" hidden="1" x14ac:dyDescent="0.3">
      <c r="A20" s="1">
        <v>25072</v>
      </c>
      <c r="B20" s="1" t="s">
        <v>17</v>
      </c>
      <c r="C20" s="3" t="s">
        <v>141</v>
      </c>
      <c r="D20" s="4">
        <v>12300</v>
      </c>
      <c r="E20" s="2" t="s">
        <v>133</v>
      </c>
      <c r="F20" s="2">
        <v>45761</v>
      </c>
      <c r="G20" s="2">
        <v>45776</v>
      </c>
      <c r="H20" s="2">
        <v>45979</v>
      </c>
      <c r="I20" s="2">
        <v>45903</v>
      </c>
      <c r="J20" s="2">
        <v>46218</v>
      </c>
      <c r="K20" s="2">
        <v>45853</v>
      </c>
      <c r="L20" s="2">
        <v>45870</v>
      </c>
      <c r="M20" s="2">
        <v>45813</v>
      </c>
      <c r="N20" s="2">
        <v>45982</v>
      </c>
      <c r="O20" s="2">
        <v>45988</v>
      </c>
      <c r="P20" s="2">
        <v>45947</v>
      </c>
      <c r="Q20" s="2">
        <v>45954</v>
      </c>
      <c r="R20" s="2">
        <v>46038</v>
      </c>
      <c r="S20" s="1">
        <v>8</v>
      </c>
      <c r="T20" s="3" t="s">
        <v>328</v>
      </c>
      <c r="W20" s="1">
        <f t="shared" si="1"/>
        <v>199</v>
      </c>
      <c r="X20" s="1">
        <f t="shared" si="2"/>
        <v>139</v>
      </c>
      <c r="Y20" s="1">
        <f t="shared" si="3"/>
        <v>5</v>
      </c>
      <c r="Z20" s="1">
        <f t="shared" si="4"/>
        <v>159</v>
      </c>
      <c r="AA20" s="1">
        <f t="shared" si="5"/>
        <v>11</v>
      </c>
      <c r="AB20" s="1">
        <f t="shared" si="6"/>
        <v>145</v>
      </c>
      <c r="AC20" s="1">
        <f t="shared" si="7"/>
        <v>3</v>
      </c>
      <c r="AD20" s="1">
        <f t="shared" si="8"/>
        <v>163</v>
      </c>
      <c r="AE20" s="1">
        <f t="shared" si="9"/>
        <v>79</v>
      </c>
      <c r="AF20" s="1">
        <f t="shared" si="10"/>
        <v>66</v>
      </c>
      <c r="AG20" s="1">
        <f t="shared" si="11"/>
        <v>38</v>
      </c>
      <c r="AH20" s="1">
        <f t="shared" si="12"/>
        <v>102</v>
      </c>
      <c r="AI20" s="1">
        <f t="shared" si="13"/>
        <v>327</v>
      </c>
      <c r="AJ20" s="1">
        <f t="shared" si="14"/>
        <v>-250</v>
      </c>
      <c r="AK20" s="1">
        <f t="shared" si="18"/>
        <v>84</v>
      </c>
      <c r="AL20" s="1">
        <f t="shared" si="16"/>
        <v>4</v>
      </c>
      <c r="AM20" s="1">
        <f t="shared" si="0"/>
        <v>-26</v>
      </c>
      <c r="AN20" s="1">
        <f t="shared" si="17"/>
        <v>60</v>
      </c>
    </row>
    <row r="21" spans="1:40" hidden="1" x14ac:dyDescent="0.3">
      <c r="A21" s="1">
        <v>25072</v>
      </c>
      <c r="B21" s="1" t="s">
        <v>17</v>
      </c>
      <c r="C21" s="3" t="s">
        <v>142</v>
      </c>
      <c r="D21" s="4">
        <v>5200</v>
      </c>
      <c r="E21" s="2" t="s">
        <v>133</v>
      </c>
      <c r="F21" s="2">
        <v>45761</v>
      </c>
      <c r="G21" s="2">
        <v>45776</v>
      </c>
      <c r="H21" s="2">
        <v>45905</v>
      </c>
      <c r="I21" s="2">
        <v>45859</v>
      </c>
      <c r="J21" s="2">
        <v>45853</v>
      </c>
      <c r="K21" s="2">
        <v>45820</v>
      </c>
      <c r="L21" s="2">
        <v>45870</v>
      </c>
      <c r="M21" s="2">
        <v>45813</v>
      </c>
      <c r="N21" s="2">
        <v>45889</v>
      </c>
      <c r="O21" s="2">
        <v>45904</v>
      </c>
      <c r="P21" s="2">
        <v>45947</v>
      </c>
      <c r="Q21" s="2">
        <v>45947</v>
      </c>
      <c r="R21" s="2">
        <v>45996</v>
      </c>
      <c r="S21" s="1">
        <v>5</v>
      </c>
      <c r="W21" s="1">
        <f t="shared" si="1"/>
        <v>169</v>
      </c>
      <c r="X21" s="1">
        <f t="shared" si="2"/>
        <v>134</v>
      </c>
      <c r="Y21" s="1">
        <f t="shared" si="3"/>
        <v>0</v>
      </c>
      <c r="Z21" s="1">
        <f t="shared" si="4"/>
        <v>92</v>
      </c>
      <c r="AA21" s="1">
        <f t="shared" si="5"/>
        <v>11</v>
      </c>
      <c r="AB21" s="1">
        <f t="shared" si="6"/>
        <v>93</v>
      </c>
      <c r="AC21" s="1">
        <f t="shared" si="7"/>
        <v>-14</v>
      </c>
      <c r="AD21" s="1">
        <f t="shared" si="8"/>
        <v>103</v>
      </c>
      <c r="AE21" s="1">
        <f t="shared" si="9"/>
        <v>79</v>
      </c>
      <c r="AF21" s="1">
        <f t="shared" si="10"/>
        <v>43</v>
      </c>
      <c r="AG21" s="1">
        <f t="shared" si="11"/>
        <v>38</v>
      </c>
      <c r="AH21" s="1">
        <f t="shared" si="12"/>
        <v>70</v>
      </c>
      <c r="AI21" s="1">
        <f t="shared" si="13"/>
        <v>66</v>
      </c>
      <c r="AJ21" s="1">
        <f t="shared" si="14"/>
        <v>9</v>
      </c>
      <c r="AK21" s="1">
        <f t="shared" si="18"/>
        <v>24</v>
      </c>
      <c r="AL21" s="1">
        <f t="shared" si="16"/>
        <v>11</v>
      </c>
      <c r="AM21" s="1">
        <f t="shared" si="0"/>
        <v>31</v>
      </c>
      <c r="AN21" s="1">
        <f t="shared" si="17"/>
        <v>35</v>
      </c>
    </row>
    <row r="22" spans="1:40" hidden="1" x14ac:dyDescent="0.3">
      <c r="A22" s="1">
        <v>25072</v>
      </c>
      <c r="B22" s="1" t="s">
        <v>17</v>
      </c>
      <c r="C22" s="3" t="s">
        <v>143</v>
      </c>
      <c r="D22" s="4">
        <v>3500</v>
      </c>
      <c r="E22" s="2" t="s">
        <v>133</v>
      </c>
      <c r="F22" s="2">
        <v>45761</v>
      </c>
      <c r="G22" s="2">
        <v>45776</v>
      </c>
      <c r="H22" s="2">
        <v>45905</v>
      </c>
      <c r="I22" s="2">
        <v>45859</v>
      </c>
      <c r="J22" s="2">
        <v>45853</v>
      </c>
      <c r="K22" s="2">
        <v>45820</v>
      </c>
      <c r="L22" s="2">
        <v>45870</v>
      </c>
      <c r="M22" s="2">
        <v>45813</v>
      </c>
      <c r="N22" s="2">
        <v>45889</v>
      </c>
      <c r="O22" s="2">
        <v>45904</v>
      </c>
      <c r="P22" s="2">
        <v>45947</v>
      </c>
      <c r="Q22" s="2">
        <v>45947</v>
      </c>
      <c r="R22" s="2">
        <v>45989</v>
      </c>
      <c r="S22" s="1">
        <v>2</v>
      </c>
      <c r="W22" s="1">
        <f t="shared" si="1"/>
        <v>164</v>
      </c>
      <c r="X22" s="1">
        <f t="shared" si="2"/>
        <v>134</v>
      </c>
      <c r="Y22" s="1">
        <f t="shared" si="3"/>
        <v>0</v>
      </c>
      <c r="Z22" s="1">
        <f t="shared" si="4"/>
        <v>92</v>
      </c>
      <c r="AA22" s="1">
        <f t="shared" si="5"/>
        <v>11</v>
      </c>
      <c r="AB22" s="1">
        <f t="shared" si="6"/>
        <v>93</v>
      </c>
      <c r="AC22" s="1">
        <f t="shared" si="7"/>
        <v>-14</v>
      </c>
      <c r="AD22" s="1">
        <f t="shared" si="8"/>
        <v>103</v>
      </c>
      <c r="AE22" s="1">
        <f t="shared" si="9"/>
        <v>79</v>
      </c>
      <c r="AF22" s="1">
        <f t="shared" si="10"/>
        <v>43</v>
      </c>
      <c r="AG22" s="1">
        <f t="shared" si="11"/>
        <v>38</v>
      </c>
      <c r="AH22" s="1">
        <f t="shared" si="12"/>
        <v>70</v>
      </c>
      <c r="AI22" s="1">
        <f t="shared" si="13"/>
        <v>66</v>
      </c>
      <c r="AJ22" s="1">
        <f t="shared" si="14"/>
        <v>9</v>
      </c>
      <c r="AK22" s="1">
        <f t="shared" si="18"/>
        <v>24</v>
      </c>
      <c r="AL22" s="1">
        <f t="shared" si="16"/>
        <v>11</v>
      </c>
      <c r="AM22" s="1">
        <f t="shared" si="0"/>
        <v>31</v>
      </c>
      <c r="AN22" s="1">
        <f t="shared" si="17"/>
        <v>30</v>
      </c>
    </row>
    <row r="23" spans="1:40" hidden="1" x14ac:dyDescent="0.3">
      <c r="A23" s="1">
        <v>25073</v>
      </c>
      <c r="B23" s="1" t="s">
        <v>17</v>
      </c>
      <c r="C23" s="3" t="s">
        <v>144</v>
      </c>
      <c r="D23" s="4">
        <v>5000</v>
      </c>
      <c r="E23" s="2" t="s">
        <v>133</v>
      </c>
      <c r="F23" s="2">
        <v>45761</v>
      </c>
      <c r="G23" s="2">
        <v>45782</v>
      </c>
      <c r="H23" s="2">
        <v>45959</v>
      </c>
      <c r="I23" s="2">
        <v>45911</v>
      </c>
      <c r="J23" s="2">
        <v>45862</v>
      </c>
      <c r="K23" s="2">
        <v>45813</v>
      </c>
      <c r="L23" s="2">
        <v>45918</v>
      </c>
      <c r="M23" s="2">
        <v>45813</v>
      </c>
      <c r="N23" s="2">
        <v>45930</v>
      </c>
      <c r="O23" s="2">
        <v>45946</v>
      </c>
      <c r="P23" s="2">
        <v>45968</v>
      </c>
      <c r="Q23" s="2">
        <v>45975</v>
      </c>
      <c r="R23" s="2">
        <v>46010</v>
      </c>
      <c r="S23" s="1">
        <v>5</v>
      </c>
      <c r="W23" s="1">
        <f t="shared" si="1"/>
        <v>179</v>
      </c>
      <c r="X23" s="1">
        <f t="shared" si="2"/>
        <v>154</v>
      </c>
      <c r="Y23" s="1">
        <f t="shared" si="3"/>
        <v>5</v>
      </c>
      <c r="Z23" s="1">
        <f t="shared" si="4"/>
        <v>121</v>
      </c>
      <c r="AA23" s="1">
        <f t="shared" si="5"/>
        <v>15</v>
      </c>
      <c r="AB23" s="1">
        <f t="shared" si="6"/>
        <v>127</v>
      </c>
      <c r="AC23" s="1">
        <f t="shared" si="7"/>
        <v>-23</v>
      </c>
      <c r="AD23" s="1">
        <f t="shared" si="8"/>
        <v>133</v>
      </c>
      <c r="AE23" s="1">
        <f t="shared" si="9"/>
        <v>113</v>
      </c>
      <c r="AF23" s="1">
        <f t="shared" si="10"/>
        <v>38</v>
      </c>
      <c r="AG23" s="1">
        <f t="shared" si="11"/>
        <v>38</v>
      </c>
      <c r="AH23" s="1">
        <f t="shared" si="12"/>
        <v>108</v>
      </c>
      <c r="AI23" s="1">
        <f t="shared" si="13"/>
        <v>73</v>
      </c>
      <c r="AJ23" s="1">
        <f t="shared" si="14"/>
        <v>5</v>
      </c>
      <c r="AK23" s="1">
        <f t="shared" si="18"/>
        <v>20</v>
      </c>
      <c r="AL23" s="1">
        <f t="shared" si="16"/>
        <v>12</v>
      </c>
      <c r="AM23" s="1">
        <f t="shared" si="0"/>
        <v>21</v>
      </c>
      <c r="AN23" s="1">
        <f t="shared" si="17"/>
        <v>25</v>
      </c>
    </row>
    <row r="24" spans="1:40" hidden="1" x14ac:dyDescent="0.3">
      <c r="A24" s="1">
        <v>25073</v>
      </c>
      <c r="B24" s="1" t="s">
        <v>17</v>
      </c>
      <c r="C24" s="3" t="s">
        <v>145</v>
      </c>
      <c r="D24" s="4">
        <v>6000</v>
      </c>
      <c r="E24" s="2" t="s">
        <v>133</v>
      </c>
      <c r="F24" s="2">
        <v>45761</v>
      </c>
      <c r="H24" s="2">
        <v>45959</v>
      </c>
      <c r="I24" s="2">
        <v>45911</v>
      </c>
      <c r="J24" s="2">
        <v>45862</v>
      </c>
      <c r="K24" s="2">
        <v>45813</v>
      </c>
      <c r="L24" s="2">
        <v>45918</v>
      </c>
      <c r="M24" s="2">
        <v>45813</v>
      </c>
      <c r="N24" s="2">
        <v>45930</v>
      </c>
      <c r="O24" s="2">
        <v>45946</v>
      </c>
      <c r="P24" s="2">
        <v>45975</v>
      </c>
      <c r="Q24" s="2">
        <v>45975</v>
      </c>
      <c r="R24" s="2">
        <v>46003</v>
      </c>
      <c r="S24" s="1">
        <v>4</v>
      </c>
      <c r="W24" s="1">
        <f t="shared" si="1"/>
        <v>174</v>
      </c>
      <c r="X24" s="1">
        <f t="shared" si="2"/>
        <v>154</v>
      </c>
      <c r="Y24" s="1">
        <f t="shared" si="3"/>
        <v>0</v>
      </c>
      <c r="Z24" s="1">
        <f t="shared" si="4"/>
        <v>121</v>
      </c>
      <c r="AA24" s="1" t="str">
        <f t="shared" si="5"/>
        <v>PAS DE COMMANDE MATIERE</v>
      </c>
      <c r="AB24" s="1">
        <f t="shared" si="6"/>
        <v>32827</v>
      </c>
      <c r="AC24" s="1">
        <f t="shared" si="7"/>
        <v>-23</v>
      </c>
      <c r="AD24" s="1">
        <f t="shared" si="8"/>
        <v>133</v>
      </c>
      <c r="AE24" s="1">
        <f t="shared" si="9"/>
        <v>113</v>
      </c>
      <c r="AF24" s="1">
        <f t="shared" si="10"/>
        <v>38</v>
      </c>
      <c r="AG24" s="1">
        <f t="shared" si="11"/>
        <v>38</v>
      </c>
      <c r="AH24" s="1">
        <f t="shared" si="12"/>
        <v>108</v>
      </c>
      <c r="AI24" s="1">
        <f t="shared" si="13"/>
        <v>73</v>
      </c>
      <c r="AJ24" s="1">
        <f t="shared" si="14"/>
        <v>5</v>
      </c>
      <c r="AK24" s="1">
        <f t="shared" si="18"/>
        <v>20</v>
      </c>
      <c r="AL24" s="1">
        <f t="shared" si="16"/>
        <v>12</v>
      </c>
      <c r="AM24" s="1">
        <f t="shared" si="0"/>
        <v>21</v>
      </c>
      <c r="AN24" s="1">
        <f t="shared" si="17"/>
        <v>20</v>
      </c>
    </row>
    <row r="25" spans="1:40" hidden="1" x14ac:dyDescent="0.3">
      <c r="A25" s="1">
        <v>25075</v>
      </c>
      <c r="B25" s="1" t="s">
        <v>17</v>
      </c>
      <c r="C25" s="3" t="s">
        <v>29</v>
      </c>
      <c r="D25" s="4">
        <v>3000</v>
      </c>
      <c r="E25" s="2" t="s">
        <v>140</v>
      </c>
      <c r="F25" s="2">
        <v>45763</v>
      </c>
      <c r="G25" s="2">
        <v>45783</v>
      </c>
      <c r="H25" s="2">
        <v>45887</v>
      </c>
      <c r="I25" s="2">
        <v>45862</v>
      </c>
      <c r="J25" s="2">
        <v>45874</v>
      </c>
      <c r="L25" s="2">
        <v>45874</v>
      </c>
      <c r="M25" s="2">
        <v>45841</v>
      </c>
      <c r="N25" s="2">
        <v>45898</v>
      </c>
      <c r="O25" s="2">
        <v>45904</v>
      </c>
      <c r="P25" s="2">
        <v>45920</v>
      </c>
      <c r="Q25" s="2">
        <v>45927</v>
      </c>
      <c r="R25" s="2">
        <v>45940</v>
      </c>
      <c r="S25" s="1">
        <v>3</v>
      </c>
      <c r="V25" s="1" t="s">
        <v>329</v>
      </c>
      <c r="W25" s="1">
        <f t="shared" si="1"/>
        <v>127</v>
      </c>
      <c r="X25" s="1">
        <f t="shared" si="2"/>
        <v>117</v>
      </c>
      <c r="Y25" s="1">
        <f t="shared" si="3"/>
        <v>4</v>
      </c>
      <c r="Z25" s="1">
        <f t="shared" si="4"/>
        <v>97</v>
      </c>
      <c r="AA25" s="1">
        <f t="shared" si="5"/>
        <v>14</v>
      </c>
      <c r="AB25" s="1">
        <f t="shared" si="6"/>
        <v>74</v>
      </c>
      <c r="AC25" s="1">
        <f t="shared" si="7"/>
        <v>9</v>
      </c>
      <c r="AD25" s="1">
        <f t="shared" si="8"/>
        <v>101</v>
      </c>
      <c r="AE25" s="1">
        <f t="shared" si="9"/>
        <v>79</v>
      </c>
      <c r="AF25" s="1" t="str">
        <f t="shared" si="10"/>
        <v>PAS DE DATE PAPIER</v>
      </c>
      <c r="AG25" s="1">
        <f t="shared" si="11"/>
        <v>56</v>
      </c>
      <c r="AH25" s="1">
        <f t="shared" si="12"/>
        <v>71</v>
      </c>
      <c r="AI25" s="1">
        <f t="shared" si="13"/>
        <v>79</v>
      </c>
      <c r="AJ25" s="1">
        <f t="shared" si="14"/>
        <v>0</v>
      </c>
      <c r="AK25" s="1">
        <f t="shared" si="18"/>
        <v>22</v>
      </c>
      <c r="AL25" s="1">
        <f t="shared" si="16"/>
        <v>4</v>
      </c>
      <c r="AM25" s="1">
        <f t="shared" si="0"/>
        <v>16</v>
      </c>
      <c r="AN25" s="1">
        <f t="shared" si="17"/>
        <v>9</v>
      </c>
    </row>
    <row r="26" spans="1:40" hidden="1" x14ac:dyDescent="0.3">
      <c r="A26" s="1">
        <v>25086</v>
      </c>
      <c r="B26" s="1" t="s">
        <v>30</v>
      </c>
      <c r="C26" s="3" t="s">
        <v>31</v>
      </c>
      <c r="D26" s="4">
        <v>1300</v>
      </c>
      <c r="E26" s="2" t="s">
        <v>133</v>
      </c>
      <c r="F26" s="2">
        <v>45791</v>
      </c>
      <c r="G26" s="2">
        <v>45792</v>
      </c>
      <c r="H26" s="2">
        <v>45896</v>
      </c>
      <c r="I26" s="2">
        <v>45813</v>
      </c>
      <c r="J26" s="2">
        <v>45805</v>
      </c>
      <c r="K26" s="2">
        <v>45811</v>
      </c>
      <c r="L26" s="2">
        <v>45820</v>
      </c>
      <c r="M26" s="2">
        <v>45813</v>
      </c>
      <c r="N26" s="2">
        <v>45889</v>
      </c>
      <c r="O26" s="2">
        <v>45854</v>
      </c>
      <c r="P26" s="2">
        <v>45919</v>
      </c>
      <c r="Q26" s="2">
        <v>45919</v>
      </c>
      <c r="R26" s="2">
        <v>45919</v>
      </c>
      <c r="S26" s="1">
        <v>1</v>
      </c>
      <c r="W26" s="1">
        <f t="shared" si="1"/>
        <v>92</v>
      </c>
      <c r="X26" s="1">
        <f t="shared" si="2"/>
        <v>92</v>
      </c>
      <c r="Y26" s="1">
        <f t="shared" si="3"/>
        <v>0</v>
      </c>
      <c r="Z26" s="1">
        <f t="shared" si="4"/>
        <v>70</v>
      </c>
      <c r="AA26" s="1">
        <f t="shared" si="5"/>
        <v>1</v>
      </c>
      <c r="AB26" s="1">
        <f t="shared" si="6"/>
        <v>74</v>
      </c>
      <c r="AC26" s="1">
        <f t="shared" si="7"/>
        <v>-7</v>
      </c>
      <c r="AD26" s="1">
        <f t="shared" si="8"/>
        <v>45</v>
      </c>
      <c r="AE26" s="1">
        <f t="shared" si="9"/>
        <v>21</v>
      </c>
      <c r="AF26" s="1">
        <f t="shared" si="10"/>
        <v>14</v>
      </c>
      <c r="AG26" s="1">
        <f t="shared" si="11"/>
        <v>16</v>
      </c>
      <c r="AH26" s="1">
        <f t="shared" si="12"/>
        <v>16</v>
      </c>
      <c r="AI26" s="1">
        <f t="shared" si="13"/>
        <v>10</v>
      </c>
      <c r="AJ26" s="1">
        <f t="shared" si="14"/>
        <v>5</v>
      </c>
      <c r="AK26" s="1">
        <f t="shared" si="18"/>
        <v>24</v>
      </c>
      <c r="AL26" s="1">
        <f t="shared" si="16"/>
        <v>25</v>
      </c>
      <c r="AM26" s="1">
        <f t="shared" si="0"/>
        <v>22</v>
      </c>
      <c r="AN26" s="1">
        <f t="shared" si="17"/>
        <v>0</v>
      </c>
    </row>
    <row r="27" spans="1:40" hidden="1" x14ac:dyDescent="0.3">
      <c r="A27" s="1">
        <v>25089</v>
      </c>
      <c r="B27" s="1" t="s">
        <v>32</v>
      </c>
      <c r="C27" s="3" t="s">
        <v>33</v>
      </c>
      <c r="D27" s="4">
        <v>1880</v>
      </c>
      <c r="E27" s="2" t="s">
        <v>137</v>
      </c>
      <c r="F27" s="2">
        <v>45791</v>
      </c>
      <c r="G27" s="2">
        <v>45791</v>
      </c>
      <c r="H27" s="2">
        <v>45845</v>
      </c>
      <c r="I27" s="2">
        <v>45799</v>
      </c>
      <c r="J27" s="2">
        <v>45805</v>
      </c>
      <c r="L27" s="2">
        <v>45821</v>
      </c>
      <c r="M27" s="2">
        <v>45841</v>
      </c>
      <c r="N27" s="2">
        <v>45854</v>
      </c>
      <c r="O27" s="2">
        <v>45821</v>
      </c>
      <c r="P27" s="2">
        <v>45919</v>
      </c>
      <c r="Q27" s="2">
        <v>45919</v>
      </c>
      <c r="R27" s="2">
        <v>45919</v>
      </c>
      <c r="S27" s="1">
        <v>1</v>
      </c>
      <c r="T27" s="3" t="s">
        <v>330</v>
      </c>
      <c r="W27" s="1">
        <f t="shared" si="1"/>
        <v>92</v>
      </c>
      <c r="X27" s="1">
        <f t="shared" si="2"/>
        <v>92</v>
      </c>
      <c r="Y27" s="1">
        <f t="shared" si="3"/>
        <v>0</v>
      </c>
      <c r="Z27" s="1">
        <f t="shared" si="4"/>
        <v>45</v>
      </c>
      <c r="AA27" s="1">
        <f t="shared" si="5"/>
        <v>0</v>
      </c>
      <c r="AB27" s="1">
        <f t="shared" si="6"/>
        <v>38</v>
      </c>
      <c r="AC27" s="1">
        <f t="shared" si="7"/>
        <v>7</v>
      </c>
      <c r="AD27" s="1">
        <f t="shared" si="8"/>
        <v>22</v>
      </c>
      <c r="AE27" s="1">
        <f t="shared" si="9"/>
        <v>22</v>
      </c>
      <c r="AF27" s="1" t="str">
        <f t="shared" si="10"/>
        <v>PAS DE DATE PAPIER</v>
      </c>
      <c r="AG27" s="1">
        <f t="shared" si="11"/>
        <v>36</v>
      </c>
      <c r="AH27" s="1">
        <f t="shared" si="12"/>
        <v>6</v>
      </c>
      <c r="AI27" s="1">
        <f t="shared" si="13"/>
        <v>10</v>
      </c>
      <c r="AJ27" s="1">
        <f t="shared" si="14"/>
        <v>12</v>
      </c>
      <c r="AK27" s="1">
        <f t="shared" si="18"/>
        <v>0</v>
      </c>
      <c r="AL27" s="1">
        <f t="shared" si="16"/>
        <v>23</v>
      </c>
      <c r="AM27" s="1">
        <f t="shared" si="0"/>
        <v>47</v>
      </c>
      <c r="AN27" s="1">
        <f t="shared" si="17"/>
        <v>0</v>
      </c>
    </row>
    <row r="28" spans="1:40" hidden="1" x14ac:dyDescent="0.3">
      <c r="A28" s="1">
        <v>25091</v>
      </c>
      <c r="B28" s="1" t="s">
        <v>34</v>
      </c>
      <c r="C28" s="3" t="s">
        <v>146</v>
      </c>
      <c r="D28" s="4">
        <v>2000</v>
      </c>
      <c r="E28" s="2" t="s">
        <v>136</v>
      </c>
      <c r="F28" s="2">
        <v>45796</v>
      </c>
      <c r="G28" s="2">
        <v>45926</v>
      </c>
      <c r="H28" s="2">
        <v>45999</v>
      </c>
      <c r="I28" s="2">
        <v>45959</v>
      </c>
      <c r="J28" s="2">
        <v>45978</v>
      </c>
      <c r="L28" s="2">
        <v>45967</v>
      </c>
      <c r="M28" s="2">
        <v>45937</v>
      </c>
      <c r="N28" s="2">
        <v>46003</v>
      </c>
      <c r="O28" s="2">
        <v>45981</v>
      </c>
      <c r="P28" s="2">
        <v>46010</v>
      </c>
      <c r="Q28" s="2">
        <v>46010</v>
      </c>
      <c r="R28" s="2">
        <v>46017</v>
      </c>
      <c r="S28" s="1">
        <v>2</v>
      </c>
      <c r="T28" s="3" t="s">
        <v>320</v>
      </c>
      <c r="W28" s="1">
        <f t="shared" si="1"/>
        <v>159</v>
      </c>
      <c r="X28" s="1">
        <f t="shared" si="2"/>
        <v>154</v>
      </c>
      <c r="Y28" s="1">
        <f t="shared" si="3"/>
        <v>0</v>
      </c>
      <c r="Z28" s="1">
        <f t="shared" si="4"/>
        <v>149</v>
      </c>
      <c r="AA28" s="1">
        <f t="shared" si="5"/>
        <v>94</v>
      </c>
      <c r="AB28" s="1">
        <f t="shared" si="6"/>
        <v>51</v>
      </c>
      <c r="AC28" s="1">
        <f t="shared" si="7"/>
        <v>4</v>
      </c>
      <c r="AD28" s="1">
        <f t="shared" si="8"/>
        <v>133</v>
      </c>
      <c r="AE28" s="1">
        <f t="shared" si="9"/>
        <v>123</v>
      </c>
      <c r="AF28" s="1" t="str">
        <f t="shared" si="10"/>
        <v>PAS DE DATE PAPIER</v>
      </c>
      <c r="AG28" s="1">
        <f t="shared" si="11"/>
        <v>101</v>
      </c>
      <c r="AH28" s="1">
        <f t="shared" si="12"/>
        <v>117</v>
      </c>
      <c r="AI28" s="1">
        <f t="shared" si="13"/>
        <v>130</v>
      </c>
      <c r="AJ28" s="1">
        <f t="shared" si="14"/>
        <v>-9</v>
      </c>
      <c r="AK28" s="1">
        <f t="shared" si="18"/>
        <v>10</v>
      </c>
      <c r="AL28" s="1">
        <f t="shared" si="16"/>
        <v>16</v>
      </c>
      <c r="AM28" s="1">
        <f t="shared" si="0"/>
        <v>5</v>
      </c>
      <c r="AN28" s="1">
        <f t="shared" si="17"/>
        <v>5</v>
      </c>
    </row>
    <row r="29" spans="1:40" hidden="1" x14ac:dyDescent="0.3">
      <c r="A29" s="1">
        <v>25091</v>
      </c>
      <c r="B29" s="1" t="s">
        <v>34</v>
      </c>
      <c r="C29" s="3" t="s">
        <v>147</v>
      </c>
      <c r="D29" s="4">
        <v>2000</v>
      </c>
      <c r="E29" s="2" t="s">
        <v>149</v>
      </c>
      <c r="F29" s="2">
        <v>45796</v>
      </c>
      <c r="G29" s="2">
        <v>45918</v>
      </c>
      <c r="H29" s="2">
        <v>45957</v>
      </c>
      <c r="I29" s="2">
        <v>45959</v>
      </c>
      <c r="J29" s="2">
        <v>45978</v>
      </c>
      <c r="L29" s="2">
        <v>45967</v>
      </c>
      <c r="M29" s="2">
        <v>45937</v>
      </c>
      <c r="N29" s="2">
        <v>45975</v>
      </c>
      <c r="O29" s="2">
        <v>45981</v>
      </c>
      <c r="P29" s="2">
        <v>46003</v>
      </c>
      <c r="Q29" s="2">
        <v>45996</v>
      </c>
      <c r="R29" s="2">
        <f>Q29</f>
        <v>45996</v>
      </c>
      <c r="S29" s="1">
        <v>1</v>
      </c>
      <c r="W29" s="1">
        <f t="shared" si="1"/>
        <v>144</v>
      </c>
      <c r="X29" s="1">
        <f t="shared" si="2"/>
        <v>144</v>
      </c>
      <c r="Y29" s="1">
        <f t="shared" si="3"/>
        <v>-7</v>
      </c>
      <c r="Z29" s="1">
        <f t="shared" si="4"/>
        <v>129</v>
      </c>
      <c r="AA29" s="1">
        <f t="shared" si="5"/>
        <v>88</v>
      </c>
      <c r="AB29" s="1">
        <f t="shared" si="6"/>
        <v>27</v>
      </c>
      <c r="AC29" s="1">
        <f t="shared" si="7"/>
        <v>14</v>
      </c>
      <c r="AD29" s="1">
        <f t="shared" si="8"/>
        <v>133</v>
      </c>
      <c r="AE29" s="1">
        <f t="shared" si="9"/>
        <v>123</v>
      </c>
      <c r="AF29" s="1" t="str">
        <f t="shared" si="10"/>
        <v>PAS DE DATE PAPIER</v>
      </c>
      <c r="AG29" s="1">
        <f t="shared" si="11"/>
        <v>101</v>
      </c>
      <c r="AH29" s="1">
        <f t="shared" si="12"/>
        <v>117</v>
      </c>
      <c r="AI29" s="1">
        <f t="shared" si="13"/>
        <v>130</v>
      </c>
      <c r="AJ29" s="1">
        <f t="shared" si="14"/>
        <v>-9</v>
      </c>
      <c r="AK29" s="1">
        <f t="shared" si="18"/>
        <v>10</v>
      </c>
      <c r="AL29" s="1">
        <f t="shared" si="16"/>
        <v>4</v>
      </c>
      <c r="AM29" s="1">
        <f t="shared" si="0"/>
        <v>11</v>
      </c>
      <c r="AN29" s="1">
        <f t="shared" si="17"/>
        <v>0</v>
      </c>
    </row>
    <row r="30" spans="1:40" hidden="1" x14ac:dyDescent="0.3">
      <c r="A30" s="1">
        <v>25091</v>
      </c>
      <c r="B30" s="1" t="s">
        <v>34</v>
      </c>
      <c r="C30" s="3" t="s">
        <v>148</v>
      </c>
      <c r="D30" s="4">
        <v>2000</v>
      </c>
      <c r="E30" s="2" t="s">
        <v>149</v>
      </c>
      <c r="F30" s="2">
        <v>45796</v>
      </c>
      <c r="G30" s="2">
        <v>45926</v>
      </c>
      <c r="H30" s="2">
        <v>45957</v>
      </c>
      <c r="I30" s="2">
        <v>45959</v>
      </c>
      <c r="J30" s="2">
        <v>45982</v>
      </c>
      <c r="L30" s="2">
        <v>45967</v>
      </c>
      <c r="M30" s="2">
        <v>45937</v>
      </c>
      <c r="N30" s="2">
        <v>45975</v>
      </c>
      <c r="O30" s="2">
        <v>45981</v>
      </c>
      <c r="P30" s="2">
        <v>46003</v>
      </c>
      <c r="Q30" s="2">
        <v>46003</v>
      </c>
      <c r="R30" s="2">
        <v>46003</v>
      </c>
      <c r="S30" s="1">
        <v>1</v>
      </c>
      <c r="W30" s="1">
        <f t="shared" si="1"/>
        <v>149</v>
      </c>
      <c r="X30" s="1">
        <f t="shared" si="2"/>
        <v>149</v>
      </c>
      <c r="Y30" s="1">
        <f t="shared" si="3"/>
        <v>0</v>
      </c>
      <c r="Z30" s="1">
        <f t="shared" si="4"/>
        <v>129</v>
      </c>
      <c r="AA30" s="1">
        <f t="shared" si="5"/>
        <v>94</v>
      </c>
      <c r="AB30" s="1">
        <f t="shared" si="6"/>
        <v>21</v>
      </c>
      <c r="AC30" s="1">
        <f t="shared" si="7"/>
        <v>14</v>
      </c>
      <c r="AD30" s="1">
        <f t="shared" si="8"/>
        <v>133</v>
      </c>
      <c r="AE30" s="1">
        <f t="shared" si="9"/>
        <v>123</v>
      </c>
      <c r="AF30" s="1" t="str">
        <f t="shared" si="10"/>
        <v>PAS DE DATE PAPIER</v>
      </c>
      <c r="AG30" s="1">
        <f t="shared" si="11"/>
        <v>101</v>
      </c>
      <c r="AH30" s="1">
        <f t="shared" si="12"/>
        <v>117</v>
      </c>
      <c r="AI30" s="1">
        <f t="shared" si="13"/>
        <v>134</v>
      </c>
      <c r="AJ30" s="1">
        <f t="shared" si="14"/>
        <v>-13</v>
      </c>
      <c r="AK30" s="1">
        <f t="shared" si="18"/>
        <v>10</v>
      </c>
      <c r="AL30" s="1">
        <f t="shared" si="16"/>
        <v>4</v>
      </c>
      <c r="AM30" s="1">
        <f t="shared" si="0"/>
        <v>16</v>
      </c>
      <c r="AN30" s="1">
        <f t="shared" si="17"/>
        <v>0</v>
      </c>
    </row>
    <row r="31" spans="1:40" hidden="1" x14ac:dyDescent="0.3">
      <c r="A31" s="1">
        <v>25092</v>
      </c>
      <c r="B31" s="1" t="s">
        <v>35</v>
      </c>
      <c r="C31" s="3" t="s">
        <v>150</v>
      </c>
      <c r="D31" s="4">
        <v>3000</v>
      </c>
      <c r="E31" s="2" t="s">
        <v>136</v>
      </c>
      <c r="F31" s="2">
        <v>45796</v>
      </c>
      <c r="G31" s="2">
        <v>45875</v>
      </c>
      <c r="H31" s="2">
        <v>45910</v>
      </c>
      <c r="I31" s="2">
        <v>45912</v>
      </c>
      <c r="J31" s="2">
        <v>45888</v>
      </c>
      <c r="L31" s="2">
        <v>45910</v>
      </c>
      <c r="M31" s="2">
        <v>45813</v>
      </c>
      <c r="N31" s="2">
        <v>45919</v>
      </c>
      <c r="O31" s="2">
        <v>45939</v>
      </c>
      <c r="P31" s="2">
        <v>45961</v>
      </c>
      <c r="Q31" s="2">
        <v>45954</v>
      </c>
      <c r="R31" s="2">
        <v>45961</v>
      </c>
      <c r="S31" s="1">
        <v>2</v>
      </c>
      <c r="T31" s="3" t="s">
        <v>331</v>
      </c>
      <c r="W31" s="1">
        <f t="shared" si="1"/>
        <v>119</v>
      </c>
      <c r="X31" s="1">
        <f t="shared" si="2"/>
        <v>114</v>
      </c>
      <c r="Y31" s="1">
        <f t="shared" si="3"/>
        <v>-7</v>
      </c>
      <c r="Z31" s="1">
        <f t="shared" si="4"/>
        <v>89</v>
      </c>
      <c r="AA31" s="1">
        <f t="shared" si="5"/>
        <v>57</v>
      </c>
      <c r="AB31" s="1">
        <f t="shared" si="6"/>
        <v>25</v>
      </c>
      <c r="AC31" s="1">
        <f t="shared" si="7"/>
        <v>7</v>
      </c>
      <c r="AD31" s="1">
        <f t="shared" si="8"/>
        <v>103</v>
      </c>
      <c r="AE31" s="1">
        <f t="shared" si="9"/>
        <v>82</v>
      </c>
      <c r="AF31" s="1" t="str">
        <f t="shared" si="10"/>
        <v>PAS DE DATE PAPIER</v>
      </c>
      <c r="AG31" s="1">
        <f t="shared" si="11"/>
        <v>13</v>
      </c>
      <c r="AH31" s="1">
        <f t="shared" si="12"/>
        <v>84</v>
      </c>
      <c r="AI31" s="1">
        <f t="shared" si="13"/>
        <v>66</v>
      </c>
      <c r="AJ31" s="1">
        <f t="shared" si="14"/>
        <v>-4</v>
      </c>
      <c r="AK31" s="1">
        <f t="shared" si="18"/>
        <v>21</v>
      </c>
      <c r="AL31" s="1">
        <f t="shared" si="16"/>
        <v>14</v>
      </c>
      <c r="AM31" s="1">
        <f t="shared" si="0"/>
        <v>11</v>
      </c>
      <c r="AN31" s="1">
        <f t="shared" si="17"/>
        <v>5</v>
      </c>
    </row>
    <row r="32" spans="1:40" hidden="1" x14ac:dyDescent="0.3">
      <c r="A32" s="1">
        <v>25092</v>
      </c>
      <c r="B32" s="1" t="s">
        <v>35</v>
      </c>
      <c r="C32" s="3" t="s">
        <v>151</v>
      </c>
      <c r="D32" s="4">
        <v>2800</v>
      </c>
      <c r="E32" s="2" t="s">
        <v>152</v>
      </c>
      <c r="F32" s="2">
        <v>45796</v>
      </c>
      <c r="G32" s="2">
        <v>45937</v>
      </c>
      <c r="H32" s="2">
        <v>45943</v>
      </c>
      <c r="I32" s="2">
        <v>46361</v>
      </c>
      <c r="J32" s="2">
        <v>45982</v>
      </c>
      <c r="L32" s="2">
        <v>45999</v>
      </c>
      <c r="M32" s="2">
        <v>45813</v>
      </c>
      <c r="N32" s="2">
        <v>45964</v>
      </c>
      <c r="O32" s="2">
        <v>46003</v>
      </c>
      <c r="P32" s="2">
        <v>46045</v>
      </c>
      <c r="Q32" s="2">
        <v>46045</v>
      </c>
      <c r="R32" s="2">
        <v>46052</v>
      </c>
      <c r="S32" s="1">
        <v>1</v>
      </c>
      <c r="T32" s="3" t="s">
        <v>332</v>
      </c>
      <c r="U32" s="1" t="s">
        <v>333</v>
      </c>
      <c r="W32" s="1">
        <f t="shared" si="1"/>
        <v>184</v>
      </c>
      <c r="X32" s="1">
        <f t="shared" si="2"/>
        <v>179</v>
      </c>
      <c r="Y32" s="1">
        <f t="shared" si="3"/>
        <v>0</v>
      </c>
      <c r="Z32" s="1">
        <f t="shared" si="4"/>
        <v>120</v>
      </c>
      <c r="AA32" s="1">
        <f t="shared" si="5"/>
        <v>101</v>
      </c>
      <c r="AB32" s="1">
        <f t="shared" si="6"/>
        <v>4</v>
      </c>
      <c r="AC32" s="1">
        <f t="shared" si="7"/>
        <v>15</v>
      </c>
      <c r="AD32" s="1">
        <f t="shared" si="8"/>
        <v>149</v>
      </c>
      <c r="AE32" s="1">
        <f t="shared" si="9"/>
        <v>145</v>
      </c>
      <c r="AF32" s="1" t="str">
        <f t="shared" si="10"/>
        <v>PAS DE DATE PAPIER</v>
      </c>
      <c r="AG32" s="1">
        <f t="shared" si="11"/>
        <v>13</v>
      </c>
      <c r="AH32" s="1">
        <f t="shared" si="12"/>
        <v>404</v>
      </c>
      <c r="AI32" s="1">
        <f t="shared" si="13"/>
        <v>134</v>
      </c>
      <c r="AJ32" s="1">
        <f t="shared" si="14"/>
        <v>-261</v>
      </c>
      <c r="AK32" s="1">
        <f t="shared" si="18"/>
        <v>4</v>
      </c>
      <c r="AL32" s="1">
        <f t="shared" si="16"/>
        <v>29</v>
      </c>
      <c r="AM32" s="1">
        <f t="shared" si="0"/>
        <v>30</v>
      </c>
      <c r="AN32" s="1">
        <f t="shared" si="17"/>
        <v>5</v>
      </c>
    </row>
    <row r="33" spans="1:40" hidden="1" x14ac:dyDescent="0.3">
      <c r="A33" s="1">
        <v>25093</v>
      </c>
      <c r="B33" s="1" t="s">
        <v>36</v>
      </c>
      <c r="C33" s="3" t="s">
        <v>37</v>
      </c>
      <c r="D33" s="4">
        <v>6500</v>
      </c>
      <c r="E33" s="2" t="s">
        <v>149</v>
      </c>
      <c r="F33" s="2">
        <v>45796</v>
      </c>
      <c r="G33" s="2">
        <v>45797</v>
      </c>
      <c r="H33" s="2">
        <v>45866</v>
      </c>
      <c r="I33" s="2">
        <v>45895</v>
      </c>
      <c r="J33" s="2">
        <v>45903</v>
      </c>
      <c r="L33" s="2">
        <v>45910</v>
      </c>
      <c r="M33" s="2">
        <v>45813</v>
      </c>
      <c r="N33" s="2">
        <v>45912</v>
      </c>
      <c r="O33" s="2">
        <v>45912</v>
      </c>
      <c r="P33" s="2">
        <v>45933</v>
      </c>
      <c r="Q33" s="2">
        <v>45940</v>
      </c>
      <c r="R33" s="2">
        <v>45961</v>
      </c>
      <c r="S33" s="1">
        <v>4</v>
      </c>
      <c r="W33" s="1">
        <f t="shared" si="1"/>
        <v>119</v>
      </c>
      <c r="X33" s="1">
        <f t="shared" si="2"/>
        <v>104</v>
      </c>
      <c r="Y33" s="1">
        <f t="shared" si="3"/>
        <v>5</v>
      </c>
      <c r="Z33" s="1">
        <f t="shared" si="4"/>
        <v>84</v>
      </c>
      <c r="AA33" s="1">
        <f t="shared" si="5"/>
        <v>1</v>
      </c>
      <c r="AB33" s="1">
        <f t="shared" si="6"/>
        <v>49</v>
      </c>
      <c r="AC33" s="1">
        <f t="shared" si="7"/>
        <v>34</v>
      </c>
      <c r="AD33" s="1">
        <f t="shared" si="8"/>
        <v>84</v>
      </c>
      <c r="AE33" s="1">
        <f t="shared" si="9"/>
        <v>82</v>
      </c>
      <c r="AF33" s="1" t="str">
        <f t="shared" si="10"/>
        <v>PAS DE DATE PAPIER</v>
      </c>
      <c r="AG33" s="1">
        <f t="shared" si="11"/>
        <v>13</v>
      </c>
      <c r="AH33" s="1">
        <f t="shared" si="12"/>
        <v>71</v>
      </c>
      <c r="AI33" s="1">
        <f t="shared" si="13"/>
        <v>77</v>
      </c>
      <c r="AJ33" s="1">
        <f t="shared" si="14"/>
        <v>5</v>
      </c>
      <c r="AK33" s="1">
        <f t="shared" si="18"/>
        <v>2</v>
      </c>
      <c r="AL33" s="1">
        <f t="shared" si="16"/>
        <v>0</v>
      </c>
      <c r="AM33" s="1">
        <f t="shared" si="0"/>
        <v>20</v>
      </c>
      <c r="AN33" s="1">
        <f t="shared" si="17"/>
        <v>15</v>
      </c>
    </row>
    <row r="34" spans="1:40" hidden="1" x14ac:dyDescent="0.3">
      <c r="A34" s="1">
        <v>25100</v>
      </c>
      <c r="B34" s="1" t="s">
        <v>38</v>
      </c>
      <c r="C34" s="3" t="s">
        <v>39</v>
      </c>
      <c r="D34" s="4">
        <v>4250</v>
      </c>
      <c r="E34" s="2" t="s">
        <v>133</v>
      </c>
      <c r="F34" s="2">
        <v>45800</v>
      </c>
      <c r="H34" s="2">
        <v>45832</v>
      </c>
      <c r="I34" s="2">
        <v>45824</v>
      </c>
      <c r="J34" s="2">
        <v>45838</v>
      </c>
      <c r="K34" s="2">
        <v>45845</v>
      </c>
      <c r="L34" s="2">
        <v>45847</v>
      </c>
      <c r="N34" s="2">
        <v>45982</v>
      </c>
      <c r="O34" s="2">
        <v>45945</v>
      </c>
      <c r="P34" s="2">
        <v>45905</v>
      </c>
      <c r="Q34" s="2">
        <v>45905</v>
      </c>
      <c r="R34" s="2">
        <v>46003</v>
      </c>
      <c r="S34" s="1">
        <v>5</v>
      </c>
      <c r="T34" s="3" t="s">
        <v>197</v>
      </c>
      <c r="W34" s="1">
        <f t="shared" si="1"/>
        <v>145</v>
      </c>
      <c r="X34" s="1">
        <f t="shared" si="2"/>
        <v>75</v>
      </c>
      <c r="Y34" s="1">
        <f t="shared" si="3"/>
        <v>0</v>
      </c>
      <c r="Z34" s="1">
        <f t="shared" si="4"/>
        <v>130</v>
      </c>
      <c r="AA34" s="1" t="str">
        <f t="shared" si="5"/>
        <v>PAS DE COMMANDE MATIERE</v>
      </c>
      <c r="AB34" s="1">
        <f t="shared" si="6"/>
        <v>32736</v>
      </c>
      <c r="AC34" s="1">
        <f t="shared" si="7"/>
        <v>108</v>
      </c>
      <c r="AD34" s="1">
        <f t="shared" si="8"/>
        <v>103</v>
      </c>
      <c r="AE34" s="1">
        <f t="shared" si="9"/>
        <v>33</v>
      </c>
      <c r="AF34" s="1">
        <f t="shared" si="10"/>
        <v>31</v>
      </c>
      <c r="AG34" s="1" t="str">
        <f t="shared" si="11"/>
        <v>PAS DE DATE CARTON</v>
      </c>
      <c r="AH34" s="1">
        <f t="shared" si="12"/>
        <v>16</v>
      </c>
      <c r="AI34" s="1">
        <f t="shared" si="13"/>
        <v>26</v>
      </c>
      <c r="AJ34" s="1">
        <f t="shared" si="14"/>
        <v>7</v>
      </c>
      <c r="AK34" s="1">
        <f t="shared" si="18"/>
        <v>70</v>
      </c>
      <c r="AL34" s="1">
        <f t="shared" si="16"/>
        <v>27</v>
      </c>
      <c r="AM34" s="1">
        <f t="shared" si="0"/>
        <v>-57</v>
      </c>
      <c r="AN34" s="1">
        <f t="shared" si="17"/>
        <v>70</v>
      </c>
    </row>
    <row r="35" spans="1:40" hidden="1" x14ac:dyDescent="0.3">
      <c r="A35" s="1">
        <v>25103</v>
      </c>
      <c r="B35" s="1" t="s">
        <v>40</v>
      </c>
      <c r="C35" s="3" t="s">
        <v>372</v>
      </c>
      <c r="D35" s="4">
        <v>500</v>
      </c>
      <c r="F35" s="2">
        <v>45803</v>
      </c>
      <c r="G35" s="2">
        <v>45812</v>
      </c>
      <c r="H35" s="2">
        <v>45909</v>
      </c>
      <c r="I35" s="2">
        <v>45828</v>
      </c>
      <c r="J35" s="2">
        <v>45834</v>
      </c>
      <c r="K35" s="2" t="s">
        <v>199</v>
      </c>
      <c r="L35" s="2">
        <v>45839</v>
      </c>
      <c r="N35" s="2">
        <v>45912</v>
      </c>
      <c r="O35" s="2">
        <v>45840</v>
      </c>
      <c r="P35" s="2">
        <v>45898</v>
      </c>
      <c r="Q35" s="2">
        <v>45898</v>
      </c>
      <c r="R35" s="2">
        <v>45933</v>
      </c>
      <c r="S35" s="1">
        <v>2</v>
      </c>
      <c r="W35" s="1">
        <f t="shared" si="1"/>
        <v>94</v>
      </c>
      <c r="X35" s="1">
        <f t="shared" si="2"/>
        <v>69</v>
      </c>
      <c r="Y35" s="1">
        <f t="shared" si="3"/>
        <v>0</v>
      </c>
      <c r="Z35" s="1">
        <f t="shared" si="4"/>
        <v>79</v>
      </c>
      <c r="AA35" s="1">
        <f t="shared" si="5"/>
        <v>7</v>
      </c>
      <c r="AB35" s="1">
        <f t="shared" si="6"/>
        <v>69</v>
      </c>
      <c r="AC35" s="1">
        <f t="shared" si="7"/>
        <v>3</v>
      </c>
      <c r="AD35" s="1">
        <f t="shared" si="8"/>
        <v>27</v>
      </c>
      <c r="AE35" s="1">
        <f t="shared" si="9"/>
        <v>26</v>
      </c>
      <c r="AF35" s="1" t="str">
        <f t="shared" si="10"/>
        <v>STOCK</v>
      </c>
      <c r="AG35" s="1" t="str">
        <f t="shared" si="11"/>
        <v>PAS DE DATE CARTON</v>
      </c>
      <c r="AH35" s="1">
        <f t="shared" si="12"/>
        <v>19</v>
      </c>
      <c r="AI35" s="1">
        <f t="shared" si="13"/>
        <v>23</v>
      </c>
      <c r="AJ35" s="1">
        <f t="shared" si="14"/>
        <v>3</v>
      </c>
      <c r="AK35" s="1">
        <f t="shared" si="18"/>
        <v>1</v>
      </c>
      <c r="AL35" s="1">
        <f t="shared" si="16"/>
        <v>52</v>
      </c>
      <c r="AM35" s="1">
        <f t="shared" si="0"/>
        <v>-12</v>
      </c>
      <c r="AN35" s="1">
        <f t="shared" si="17"/>
        <v>25</v>
      </c>
    </row>
    <row r="36" spans="1:40" hidden="1" x14ac:dyDescent="0.3">
      <c r="A36" s="1">
        <v>25104</v>
      </c>
      <c r="B36" s="1" t="s">
        <v>41</v>
      </c>
      <c r="C36" s="3" t="s">
        <v>42</v>
      </c>
      <c r="D36" s="4">
        <v>1000</v>
      </c>
      <c r="E36" s="2" t="s">
        <v>133</v>
      </c>
      <c r="F36" s="2">
        <v>45803</v>
      </c>
      <c r="G36" s="2">
        <v>45805</v>
      </c>
      <c r="H36" s="2">
        <v>45824</v>
      </c>
      <c r="I36" s="2">
        <v>45848</v>
      </c>
      <c r="J36" s="2">
        <v>45856</v>
      </c>
      <c r="K36" s="2" t="s">
        <v>199</v>
      </c>
      <c r="L36" s="2">
        <v>45917</v>
      </c>
      <c r="M36" s="2">
        <v>45845</v>
      </c>
      <c r="N36" s="2">
        <v>45839</v>
      </c>
      <c r="O36" s="2">
        <v>45919</v>
      </c>
      <c r="P36" s="2">
        <v>45891</v>
      </c>
      <c r="Q36" s="2">
        <v>45898</v>
      </c>
      <c r="R36" s="2">
        <v>45947</v>
      </c>
      <c r="S36" s="1">
        <v>2</v>
      </c>
      <c r="T36" s="3" t="s">
        <v>198</v>
      </c>
      <c r="W36" s="1">
        <f t="shared" si="1"/>
        <v>104</v>
      </c>
      <c r="X36" s="1">
        <f t="shared" si="2"/>
        <v>69</v>
      </c>
      <c r="Y36" s="1">
        <f t="shared" si="3"/>
        <v>5</v>
      </c>
      <c r="Z36" s="1">
        <f t="shared" si="4"/>
        <v>26</v>
      </c>
      <c r="AA36" s="1">
        <f t="shared" si="5"/>
        <v>2</v>
      </c>
      <c r="AB36" s="1">
        <f t="shared" si="6"/>
        <v>13</v>
      </c>
      <c r="AC36" s="1">
        <f t="shared" si="7"/>
        <v>11</v>
      </c>
      <c r="AD36" s="1">
        <f t="shared" si="8"/>
        <v>84</v>
      </c>
      <c r="AE36" s="1">
        <f t="shared" si="9"/>
        <v>82</v>
      </c>
      <c r="AF36" s="1" t="str">
        <f t="shared" si="10"/>
        <v>STOCK</v>
      </c>
      <c r="AG36" s="1">
        <f t="shared" si="11"/>
        <v>30</v>
      </c>
      <c r="AH36" s="1">
        <f t="shared" si="12"/>
        <v>33</v>
      </c>
      <c r="AI36" s="1">
        <f t="shared" si="13"/>
        <v>39</v>
      </c>
      <c r="AJ36" s="1">
        <f t="shared" si="14"/>
        <v>43</v>
      </c>
      <c r="AK36" s="1">
        <f t="shared" si="18"/>
        <v>2</v>
      </c>
      <c r="AL36" s="1">
        <f t="shared" si="16"/>
        <v>58</v>
      </c>
      <c r="AM36" s="1">
        <f t="shared" si="0"/>
        <v>-17</v>
      </c>
      <c r="AN36" s="1">
        <f t="shared" si="17"/>
        <v>35</v>
      </c>
    </row>
    <row r="37" spans="1:40" hidden="1" x14ac:dyDescent="0.3">
      <c r="A37" s="1">
        <v>25107</v>
      </c>
      <c r="B37" s="1" t="s">
        <v>43</v>
      </c>
      <c r="C37" s="3" t="s">
        <v>154</v>
      </c>
      <c r="D37" s="4">
        <v>9850</v>
      </c>
      <c r="E37" s="2" t="s">
        <v>133</v>
      </c>
      <c r="F37" s="2">
        <v>45810</v>
      </c>
      <c r="G37" s="2">
        <v>45853</v>
      </c>
      <c r="M37" s="2">
        <v>45904</v>
      </c>
      <c r="W37" s="1" t="str">
        <f t="shared" si="1"/>
        <v>NON LIVRE</v>
      </c>
      <c r="X37" s="1" t="str">
        <f t="shared" si="2"/>
        <v>NON LIVRE</v>
      </c>
      <c r="Y37" s="1" t="str">
        <f t="shared" si="3"/>
        <v>NON LIVRE</v>
      </c>
      <c r="Z37" s="1" t="str">
        <f t="shared" si="4"/>
        <v>NON LIVRE</v>
      </c>
      <c r="AA37" s="1" t="str">
        <f t="shared" si="5"/>
        <v>NON LIVRE</v>
      </c>
      <c r="AB37" s="1" t="str">
        <f t="shared" si="6"/>
        <v>NON LIVRE</v>
      </c>
      <c r="AC37" s="1" t="str">
        <f t="shared" si="7"/>
        <v>NON LIVRE</v>
      </c>
      <c r="AD37" s="1" t="str">
        <f t="shared" si="8"/>
        <v>NON LIVRE</v>
      </c>
      <c r="AE37" s="1" t="str">
        <f t="shared" si="9"/>
        <v>NON LIVRE</v>
      </c>
      <c r="AF37" s="1" t="str">
        <f t="shared" si="10"/>
        <v>NON LIVRE</v>
      </c>
      <c r="AG37" s="1" t="str">
        <f t="shared" si="11"/>
        <v>NON LIVRE</v>
      </c>
      <c r="AH37" s="1" t="str">
        <f t="shared" si="12"/>
        <v>NON LIVRE</v>
      </c>
      <c r="AI37" s="1" t="str">
        <f t="shared" si="13"/>
        <v>NON LIVRE</v>
      </c>
      <c r="AJ37" s="1" t="str">
        <f t="shared" si="14"/>
        <v>NON LIVRE</v>
      </c>
      <c r="AK37" s="1" t="str">
        <f t="shared" si="18"/>
        <v>NON LIVRE</v>
      </c>
      <c r="AL37" s="1" t="str">
        <f t="shared" si="16"/>
        <v>NON LIVRE</v>
      </c>
      <c r="AM37" s="1" t="str">
        <f t="shared" si="0"/>
        <v>NON LIVRE</v>
      </c>
      <c r="AN37" s="1" t="str">
        <f t="shared" si="17"/>
        <v>NON LIVRE</v>
      </c>
    </row>
    <row r="38" spans="1:40" hidden="1" x14ac:dyDescent="0.3">
      <c r="A38" s="1">
        <v>25107</v>
      </c>
      <c r="B38" s="1" t="s">
        <v>43</v>
      </c>
      <c r="C38" s="3" t="s">
        <v>155</v>
      </c>
      <c r="D38" s="4">
        <v>3000</v>
      </c>
      <c r="E38" s="2" t="s">
        <v>133</v>
      </c>
      <c r="F38" s="2">
        <v>45902</v>
      </c>
      <c r="W38" s="1" t="str">
        <f t="shared" si="1"/>
        <v>NON LIVRE</v>
      </c>
      <c r="X38" s="1" t="str">
        <f t="shared" si="2"/>
        <v>NON LIVRE</v>
      </c>
      <c r="Y38" s="1" t="str">
        <f t="shared" si="3"/>
        <v>NON LIVRE</v>
      </c>
      <c r="Z38" s="1" t="str">
        <f t="shared" si="4"/>
        <v>NON LIVRE</v>
      </c>
      <c r="AA38" s="1" t="str">
        <f t="shared" si="5"/>
        <v>NON LIVRE</v>
      </c>
      <c r="AB38" s="1" t="str">
        <f t="shared" si="6"/>
        <v>NON LIVRE</v>
      </c>
      <c r="AC38" s="1" t="str">
        <f t="shared" si="7"/>
        <v>NON LIVRE</v>
      </c>
      <c r="AD38" s="1" t="str">
        <f t="shared" si="8"/>
        <v>NON LIVRE</v>
      </c>
      <c r="AE38" s="1" t="str">
        <f t="shared" si="9"/>
        <v>NON LIVRE</v>
      </c>
      <c r="AF38" s="1" t="str">
        <f t="shared" si="10"/>
        <v>NON LIVRE</v>
      </c>
      <c r="AG38" s="1" t="str">
        <f t="shared" si="11"/>
        <v>NON LIVRE</v>
      </c>
      <c r="AH38" s="1" t="str">
        <f t="shared" si="12"/>
        <v>NON LIVRE</v>
      </c>
      <c r="AI38" s="1" t="str">
        <f t="shared" si="13"/>
        <v>NON LIVRE</v>
      </c>
      <c r="AJ38" s="1" t="str">
        <f t="shared" si="14"/>
        <v>NON LIVRE</v>
      </c>
      <c r="AK38" s="1" t="str">
        <f>IFERROR(IF($R38="","NON LIVRE",IF($L38="","PAS D'IMPRESSION",IF($O38="","PAS DE DATE DEPART EN PROD TIRAGES ET ACHATS",NETWORKDAYS($L38,$O38)-1))),$O38)</f>
        <v>NON LIVRE</v>
      </c>
      <c r="AL38" s="1" t="str">
        <f t="shared" si="16"/>
        <v>NON LIVRE</v>
      </c>
      <c r="AM38" s="1" t="str">
        <f t="shared" si="0"/>
        <v>NON LIVRE</v>
      </c>
      <c r="AN38" s="1" t="str">
        <f t="shared" si="17"/>
        <v>NON LIVRE</v>
      </c>
    </row>
    <row r="39" spans="1:40" hidden="1" x14ac:dyDescent="0.3">
      <c r="A39" s="1">
        <v>25109</v>
      </c>
      <c r="B39" s="1" t="s">
        <v>44</v>
      </c>
      <c r="C39" s="3" t="s">
        <v>45</v>
      </c>
      <c r="D39" s="4">
        <v>1050</v>
      </c>
      <c r="E39" s="2" t="s">
        <v>156</v>
      </c>
      <c r="F39" s="2">
        <v>45812</v>
      </c>
      <c r="H39" s="2">
        <v>45845</v>
      </c>
      <c r="I39" s="2">
        <v>45874</v>
      </c>
      <c r="L39" s="2">
        <v>45902</v>
      </c>
      <c r="M39" s="2">
        <v>45845</v>
      </c>
      <c r="N39" s="2">
        <v>45898</v>
      </c>
      <c r="O39" s="2">
        <v>45904</v>
      </c>
      <c r="P39" s="2">
        <v>45926</v>
      </c>
      <c r="Q39" s="2">
        <v>45919</v>
      </c>
      <c r="R39" s="2">
        <v>45926</v>
      </c>
      <c r="S39" s="1">
        <v>2</v>
      </c>
      <c r="W39" s="1">
        <f t="shared" si="1"/>
        <v>82</v>
      </c>
      <c r="X39" s="1">
        <f t="shared" si="2"/>
        <v>77</v>
      </c>
      <c r="Y39" s="1">
        <f t="shared" si="3"/>
        <v>-7</v>
      </c>
      <c r="Z39" s="1">
        <f t="shared" si="4"/>
        <v>62</v>
      </c>
      <c r="AA39" s="1" t="str">
        <f t="shared" si="5"/>
        <v>PAS DE COMMANDE MATIERE</v>
      </c>
      <c r="AB39" s="1">
        <f t="shared" si="6"/>
        <v>32745</v>
      </c>
      <c r="AC39" s="1">
        <f t="shared" si="7"/>
        <v>39</v>
      </c>
      <c r="AD39" s="1">
        <f t="shared" si="8"/>
        <v>66</v>
      </c>
      <c r="AE39" s="1">
        <f t="shared" si="9"/>
        <v>64</v>
      </c>
      <c r="AF39" s="1" t="str">
        <f t="shared" si="10"/>
        <v>PAS DE DATE PAPIER</v>
      </c>
      <c r="AG39" s="1">
        <f t="shared" si="11"/>
        <v>23</v>
      </c>
      <c r="AH39" s="1">
        <f t="shared" si="12"/>
        <v>44</v>
      </c>
      <c r="AI39" s="1" t="str">
        <f t="shared" si="13"/>
        <v>PAS DE DATE VALIDATION MODELE CLIENT</v>
      </c>
      <c r="AJ39" s="1">
        <f t="shared" si="14"/>
        <v>20</v>
      </c>
      <c r="AK39" s="1">
        <f t="shared" ref="AK39:AK102" si="19">IFERROR(IF($R39="","NON LIVRE",IF($L39="","PAS D'IMPRESSION",IF($O39="","PAS DE DATE DEPART EN PROD TIRAGES ET ACHATS",NETWORKDAYS($L39,$O39)-1))),$O39)</f>
        <v>2</v>
      </c>
      <c r="AL39" s="1">
        <f t="shared" si="16"/>
        <v>4</v>
      </c>
      <c r="AM39" s="1">
        <f t="shared" si="0"/>
        <v>11</v>
      </c>
      <c r="AN39" s="1">
        <f t="shared" si="17"/>
        <v>5</v>
      </c>
    </row>
    <row r="40" spans="1:40" hidden="1" x14ac:dyDescent="0.3">
      <c r="A40" s="1">
        <v>25109</v>
      </c>
      <c r="B40" s="1" t="s">
        <v>44</v>
      </c>
      <c r="C40" s="3" t="s">
        <v>46</v>
      </c>
      <c r="D40" s="4">
        <v>40</v>
      </c>
      <c r="E40" s="2" t="s">
        <v>156</v>
      </c>
      <c r="F40" s="2">
        <v>45812</v>
      </c>
      <c r="H40" s="2">
        <v>45845</v>
      </c>
      <c r="I40" s="2">
        <v>45874</v>
      </c>
      <c r="L40" s="2">
        <v>45902</v>
      </c>
      <c r="M40" s="2">
        <v>45845</v>
      </c>
      <c r="N40" s="2">
        <v>45898</v>
      </c>
      <c r="O40" s="2">
        <v>45904</v>
      </c>
      <c r="P40" s="2">
        <v>45926</v>
      </c>
      <c r="Q40" s="2">
        <v>45926</v>
      </c>
      <c r="R40" s="2">
        <v>45926</v>
      </c>
      <c r="S40" s="1">
        <v>1</v>
      </c>
      <c r="W40" s="1">
        <f t="shared" si="1"/>
        <v>82</v>
      </c>
      <c r="X40" s="1">
        <f t="shared" si="2"/>
        <v>82</v>
      </c>
      <c r="Y40" s="1">
        <f t="shared" si="3"/>
        <v>0</v>
      </c>
      <c r="Z40" s="1">
        <f t="shared" si="4"/>
        <v>62</v>
      </c>
      <c r="AA40" s="1" t="str">
        <f t="shared" si="5"/>
        <v>PAS DE COMMANDE MATIERE</v>
      </c>
      <c r="AB40" s="1">
        <f t="shared" si="6"/>
        <v>32745</v>
      </c>
      <c r="AC40" s="1">
        <f t="shared" si="7"/>
        <v>39</v>
      </c>
      <c r="AD40" s="1">
        <f t="shared" si="8"/>
        <v>66</v>
      </c>
      <c r="AE40" s="1">
        <f t="shared" si="9"/>
        <v>64</v>
      </c>
      <c r="AF40" s="1" t="str">
        <f t="shared" si="10"/>
        <v>PAS DE DATE PAPIER</v>
      </c>
      <c r="AG40" s="1">
        <f t="shared" si="11"/>
        <v>23</v>
      </c>
      <c r="AH40" s="1">
        <f t="shared" si="12"/>
        <v>44</v>
      </c>
      <c r="AI40" s="1" t="str">
        <f t="shared" si="13"/>
        <v>PAS DE DATE VALIDATION MODELE CLIENT</v>
      </c>
      <c r="AJ40" s="1">
        <f t="shared" si="14"/>
        <v>20</v>
      </c>
      <c r="AK40" s="1">
        <f t="shared" si="19"/>
        <v>2</v>
      </c>
      <c r="AL40" s="1">
        <f t="shared" si="16"/>
        <v>4</v>
      </c>
      <c r="AM40" s="1">
        <f t="shared" si="0"/>
        <v>16</v>
      </c>
      <c r="AN40" s="1">
        <f t="shared" si="17"/>
        <v>0</v>
      </c>
    </row>
    <row r="41" spans="1:40" hidden="1" x14ac:dyDescent="0.3">
      <c r="A41" s="1">
        <v>25110</v>
      </c>
      <c r="B41" s="1" t="s">
        <v>17</v>
      </c>
      <c r="C41" s="3" t="s">
        <v>47</v>
      </c>
      <c r="D41" s="4">
        <v>3000</v>
      </c>
      <c r="E41" s="2" t="s">
        <v>136</v>
      </c>
      <c r="F41" s="2">
        <v>45812</v>
      </c>
      <c r="G41" s="2">
        <v>45813</v>
      </c>
      <c r="H41" s="2">
        <v>45869</v>
      </c>
      <c r="I41" s="2">
        <v>45863</v>
      </c>
      <c r="J41" s="2">
        <v>45871</v>
      </c>
      <c r="L41" s="2">
        <v>45903</v>
      </c>
      <c r="M41" s="2">
        <v>45845</v>
      </c>
      <c r="N41" s="2">
        <v>45926</v>
      </c>
      <c r="O41" s="2">
        <v>45912</v>
      </c>
      <c r="P41" s="2">
        <v>45933</v>
      </c>
      <c r="Q41" s="2">
        <v>45933</v>
      </c>
      <c r="R41" s="2">
        <v>45940</v>
      </c>
      <c r="S41" s="1">
        <v>2</v>
      </c>
      <c r="W41" s="1">
        <f t="shared" si="1"/>
        <v>92</v>
      </c>
      <c r="X41" s="1">
        <f t="shared" si="2"/>
        <v>87</v>
      </c>
      <c r="Y41" s="1">
        <f t="shared" si="3"/>
        <v>0</v>
      </c>
      <c r="Z41" s="1">
        <f t="shared" si="4"/>
        <v>82</v>
      </c>
      <c r="AA41" s="1">
        <f t="shared" si="5"/>
        <v>1</v>
      </c>
      <c r="AB41" s="1">
        <f t="shared" si="6"/>
        <v>40</v>
      </c>
      <c r="AC41" s="1">
        <f t="shared" si="7"/>
        <v>41</v>
      </c>
      <c r="AD41" s="1">
        <f t="shared" si="8"/>
        <v>72</v>
      </c>
      <c r="AE41" s="1">
        <f t="shared" si="9"/>
        <v>65</v>
      </c>
      <c r="AF41" s="1" t="str">
        <f t="shared" si="10"/>
        <v>PAS DE DATE PAPIER</v>
      </c>
      <c r="AG41" s="1">
        <f t="shared" si="11"/>
        <v>23</v>
      </c>
      <c r="AH41" s="1">
        <f t="shared" si="12"/>
        <v>37</v>
      </c>
      <c r="AI41" s="1">
        <f t="shared" si="13"/>
        <v>42</v>
      </c>
      <c r="AJ41" s="1">
        <f t="shared" si="14"/>
        <v>22</v>
      </c>
      <c r="AK41" s="1">
        <f t="shared" si="19"/>
        <v>7</v>
      </c>
      <c r="AL41" s="1">
        <f t="shared" si="16"/>
        <v>10</v>
      </c>
      <c r="AM41" s="1">
        <f t="shared" si="0"/>
        <v>5</v>
      </c>
      <c r="AN41" s="1">
        <f t="shared" si="17"/>
        <v>5</v>
      </c>
    </row>
    <row r="42" spans="1:40" hidden="1" x14ac:dyDescent="0.3">
      <c r="A42" s="1">
        <v>25114</v>
      </c>
      <c r="B42" s="1" t="s">
        <v>17</v>
      </c>
      <c r="C42" s="3" t="s">
        <v>48</v>
      </c>
      <c r="D42" s="4">
        <v>6000</v>
      </c>
      <c r="E42" s="2" t="s">
        <v>140</v>
      </c>
      <c r="F42" s="2">
        <v>45814</v>
      </c>
      <c r="G42" s="2">
        <v>45840</v>
      </c>
      <c r="H42" s="2">
        <v>45860</v>
      </c>
      <c r="I42" s="2">
        <v>45855</v>
      </c>
      <c r="J42" s="2" t="s">
        <v>315</v>
      </c>
      <c r="L42" s="2">
        <v>45873</v>
      </c>
      <c r="M42" s="2">
        <v>45841</v>
      </c>
      <c r="N42" s="2">
        <v>45898</v>
      </c>
      <c r="O42" s="2">
        <v>45918</v>
      </c>
      <c r="P42" s="2">
        <v>45919</v>
      </c>
      <c r="Q42" s="2">
        <v>45919</v>
      </c>
      <c r="R42" s="2">
        <v>45985</v>
      </c>
      <c r="S42" s="1">
        <v>5</v>
      </c>
      <c r="W42" s="1">
        <f t="shared" si="1"/>
        <v>121</v>
      </c>
      <c r="X42" s="1">
        <f t="shared" si="2"/>
        <v>75</v>
      </c>
      <c r="Y42" s="1">
        <f t="shared" si="3"/>
        <v>0</v>
      </c>
      <c r="Z42" s="1">
        <f t="shared" si="4"/>
        <v>60</v>
      </c>
      <c r="AA42" s="1">
        <f t="shared" si="5"/>
        <v>18</v>
      </c>
      <c r="AB42" s="1">
        <f t="shared" si="6"/>
        <v>14</v>
      </c>
      <c r="AC42" s="1">
        <f t="shared" si="7"/>
        <v>28</v>
      </c>
      <c r="AD42" s="1">
        <f t="shared" si="8"/>
        <v>74</v>
      </c>
      <c r="AE42" s="1">
        <f t="shared" si="9"/>
        <v>41</v>
      </c>
      <c r="AF42" s="1" t="str">
        <f t="shared" si="10"/>
        <v>PAS DE DATE PAPIER</v>
      </c>
      <c r="AG42" s="1">
        <f t="shared" si="11"/>
        <v>19</v>
      </c>
      <c r="AH42" s="1">
        <f t="shared" si="12"/>
        <v>29</v>
      </c>
      <c r="AI42" s="1" t="str">
        <f t="shared" si="13"/>
        <v>ANC FAB</v>
      </c>
      <c r="AJ42" s="1">
        <f t="shared" si="14"/>
        <v>12</v>
      </c>
      <c r="AK42" s="1">
        <f t="shared" si="19"/>
        <v>33</v>
      </c>
      <c r="AL42" s="1">
        <f t="shared" si="16"/>
        <v>14</v>
      </c>
      <c r="AM42" s="1">
        <f t="shared" si="0"/>
        <v>1</v>
      </c>
      <c r="AN42" s="1">
        <f t="shared" si="17"/>
        <v>46</v>
      </c>
    </row>
    <row r="43" spans="1:40" hidden="1" x14ac:dyDescent="0.3">
      <c r="A43" s="1">
        <v>25115</v>
      </c>
      <c r="B43" s="1" t="s">
        <v>17</v>
      </c>
      <c r="C43" s="3" t="s">
        <v>49</v>
      </c>
      <c r="D43" s="4">
        <v>10000</v>
      </c>
      <c r="E43" s="2" t="s">
        <v>140</v>
      </c>
      <c r="F43" s="2">
        <v>45814</v>
      </c>
      <c r="W43" s="1" t="str">
        <f t="shared" si="1"/>
        <v>NON LIVRE</v>
      </c>
      <c r="X43" s="1" t="str">
        <f t="shared" si="2"/>
        <v>NON LIVRE</v>
      </c>
      <c r="Y43" s="1" t="str">
        <f t="shared" si="3"/>
        <v>NON LIVRE</v>
      </c>
      <c r="Z43" s="1" t="str">
        <f t="shared" si="4"/>
        <v>NON LIVRE</v>
      </c>
      <c r="AA43" s="1" t="str">
        <f t="shared" si="5"/>
        <v>NON LIVRE</v>
      </c>
      <c r="AB43" s="1" t="str">
        <f t="shared" si="6"/>
        <v>NON LIVRE</v>
      </c>
      <c r="AC43" s="1" t="str">
        <f t="shared" si="7"/>
        <v>NON LIVRE</v>
      </c>
      <c r="AD43" s="1" t="str">
        <f t="shared" si="8"/>
        <v>NON LIVRE</v>
      </c>
      <c r="AE43" s="1" t="str">
        <f t="shared" si="9"/>
        <v>NON LIVRE</v>
      </c>
      <c r="AF43" s="1" t="str">
        <f t="shared" si="10"/>
        <v>NON LIVRE</v>
      </c>
      <c r="AG43" s="1" t="str">
        <f t="shared" si="11"/>
        <v>NON LIVRE</v>
      </c>
      <c r="AH43" s="1" t="str">
        <f t="shared" si="12"/>
        <v>NON LIVRE</v>
      </c>
      <c r="AI43" s="1" t="str">
        <f t="shared" si="13"/>
        <v>NON LIVRE</v>
      </c>
      <c r="AJ43" s="1" t="str">
        <f t="shared" si="14"/>
        <v>NON LIVRE</v>
      </c>
      <c r="AK43" s="1" t="str">
        <f t="shared" si="19"/>
        <v>NON LIVRE</v>
      </c>
      <c r="AL43" s="1" t="str">
        <f t="shared" si="16"/>
        <v>NON LIVRE</v>
      </c>
      <c r="AM43" s="1" t="str">
        <f t="shared" si="0"/>
        <v>NON LIVRE</v>
      </c>
      <c r="AN43" s="1" t="str">
        <f t="shared" si="17"/>
        <v>NON LIVRE</v>
      </c>
    </row>
    <row r="44" spans="1:40" hidden="1" x14ac:dyDescent="0.3">
      <c r="A44" s="1">
        <v>25115</v>
      </c>
      <c r="B44" s="1" t="s">
        <v>17</v>
      </c>
      <c r="C44" s="3" t="s">
        <v>50</v>
      </c>
      <c r="D44" s="4">
        <v>3500</v>
      </c>
      <c r="E44" s="2" t="s">
        <v>157</v>
      </c>
      <c r="F44" s="2">
        <v>45814</v>
      </c>
      <c r="G44" s="2">
        <v>45980</v>
      </c>
      <c r="H44" s="2">
        <v>45999</v>
      </c>
      <c r="I44" s="2">
        <v>46014</v>
      </c>
      <c r="J44" s="2">
        <v>46042</v>
      </c>
      <c r="L44" s="2">
        <v>46139</v>
      </c>
      <c r="M44" s="2">
        <v>46148</v>
      </c>
      <c r="N44" s="2">
        <v>46057</v>
      </c>
      <c r="O44" s="2">
        <v>46155</v>
      </c>
      <c r="P44" s="2">
        <v>46080</v>
      </c>
      <c r="Q44" s="2">
        <v>46080</v>
      </c>
      <c r="R44" s="2">
        <v>46129</v>
      </c>
      <c r="S44" s="1">
        <v>6</v>
      </c>
      <c r="T44" s="3" t="s">
        <v>339</v>
      </c>
      <c r="W44" s="1">
        <f t="shared" si="1"/>
        <v>225</v>
      </c>
      <c r="X44" s="1">
        <f t="shared" si="2"/>
        <v>190</v>
      </c>
      <c r="Y44" s="1">
        <f t="shared" si="3"/>
        <v>0</v>
      </c>
      <c r="Z44" s="1">
        <f t="shared" si="4"/>
        <v>173</v>
      </c>
      <c r="AA44" s="1">
        <f t="shared" si="5"/>
        <v>118</v>
      </c>
      <c r="AB44" s="1">
        <f t="shared" si="6"/>
        <v>13</v>
      </c>
      <c r="AC44" s="1">
        <f t="shared" si="7"/>
        <v>42</v>
      </c>
      <c r="AD44" s="1">
        <f t="shared" si="8"/>
        <v>243</v>
      </c>
      <c r="AE44" s="1">
        <f t="shared" si="9"/>
        <v>231</v>
      </c>
      <c r="AF44" s="1" t="str">
        <f t="shared" si="10"/>
        <v>PAS DE DATE PAPIER</v>
      </c>
      <c r="AG44" s="1">
        <f t="shared" si="11"/>
        <v>238</v>
      </c>
      <c r="AH44" s="1">
        <f t="shared" si="12"/>
        <v>142</v>
      </c>
      <c r="AI44" s="1">
        <f t="shared" si="13"/>
        <v>162</v>
      </c>
      <c r="AJ44" s="1">
        <f t="shared" si="14"/>
        <v>69</v>
      </c>
      <c r="AK44" s="1">
        <f t="shared" si="19"/>
        <v>12</v>
      </c>
      <c r="AL44" s="1">
        <f t="shared" si="16"/>
        <v>70</v>
      </c>
      <c r="AM44" s="1">
        <f t="shared" si="0"/>
        <v>-55</v>
      </c>
      <c r="AN44" s="1">
        <f t="shared" si="17"/>
        <v>35</v>
      </c>
    </row>
    <row r="45" spans="1:40" hidden="1" x14ac:dyDescent="0.3">
      <c r="A45" s="1">
        <v>25117</v>
      </c>
      <c r="B45" s="1" t="s">
        <v>35</v>
      </c>
      <c r="C45" s="3" t="s">
        <v>52</v>
      </c>
      <c r="D45" s="4">
        <v>2000</v>
      </c>
      <c r="E45" s="2" t="s">
        <v>133</v>
      </c>
      <c r="F45" s="2">
        <v>45818</v>
      </c>
      <c r="G45" s="2">
        <v>45818</v>
      </c>
      <c r="H45" s="2">
        <v>45901</v>
      </c>
      <c r="I45" s="2">
        <v>45832</v>
      </c>
      <c r="J45" s="2">
        <v>45866</v>
      </c>
      <c r="L45" s="2">
        <v>45881</v>
      </c>
      <c r="M45" s="2">
        <v>45842</v>
      </c>
      <c r="N45" s="2">
        <v>45891</v>
      </c>
      <c r="O45" s="2">
        <v>45911</v>
      </c>
      <c r="P45" s="2">
        <v>45919</v>
      </c>
      <c r="Q45" s="2">
        <v>45919</v>
      </c>
      <c r="R45" s="2">
        <v>45926</v>
      </c>
      <c r="S45" s="1">
        <v>2</v>
      </c>
      <c r="W45" s="1">
        <f t="shared" si="1"/>
        <v>78</v>
      </c>
      <c r="X45" s="1">
        <f t="shared" si="2"/>
        <v>73</v>
      </c>
      <c r="Y45" s="1">
        <f t="shared" si="3"/>
        <v>0</v>
      </c>
      <c r="Z45" s="1">
        <f t="shared" si="4"/>
        <v>53</v>
      </c>
      <c r="AA45" s="1">
        <f t="shared" si="5"/>
        <v>0</v>
      </c>
      <c r="AB45" s="1">
        <f t="shared" si="6"/>
        <v>59</v>
      </c>
      <c r="AC45" s="1">
        <f t="shared" si="7"/>
        <v>-8</v>
      </c>
      <c r="AD45" s="1">
        <f t="shared" si="8"/>
        <v>67</v>
      </c>
      <c r="AE45" s="1">
        <f t="shared" si="9"/>
        <v>45</v>
      </c>
      <c r="AF45" s="1" t="str">
        <f t="shared" si="10"/>
        <v>PAS DE DATE PAPIER</v>
      </c>
      <c r="AG45" s="1">
        <f t="shared" si="11"/>
        <v>18</v>
      </c>
      <c r="AH45" s="1">
        <f t="shared" si="12"/>
        <v>10</v>
      </c>
      <c r="AI45" s="1">
        <f t="shared" si="13"/>
        <v>34</v>
      </c>
      <c r="AJ45" s="1">
        <f t="shared" si="14"/>
        <v>11</v>
      </c>
      <c r="AK45" s="1">
        <f t="shared" si="19"/>
        <v>22</v>
      </c>
      <c r="AL45" s="1">
        <f t="shared" si="16"/>
        <v>14</v>
      </c>
      <c r="AM45" s="1">
        <f t="shared" si="0"/>
        <v>6</v>
      </c>
      <c r="AN45" s="1">
        <f t="shared" si="17"/>
        <v>5</v>
      </c>
    </row>
    <row r="46" spans="1:40" hidden="1" x14ac:dyDescent="0.3">
      <c r="A46" s="1">
        <v>25119</v>
      </c>
      <c r="B46" s="1" t="s">
        <v>53</v>
      </c>
      <c r="C46" s="3" t="s">
        <v>54</v>
      </c>
      <c r="D46" s="4">
        <v>500</v>
      </c>
      <c r="E46" s="2" t="s">
        <v>158</v>
      </c>
      <c r="F46" s="2">
        <v>45820</v>
      </c>
      <c r="W46" s="1" t="str">
        <f t="shared" si="1"/>
        <v>NON LIVRE</v>
      </c>
      <c r="X46" s="1" t="str">
        <f t="shared" si="2"/>
        <v>NON LIVRE</v>
      </c>
      <c r="Y46" s="1" t="str">
        <f t="shared" si="3"/>
        <v>NON LIVRE</v>
      </c>
      <c r="Z46" s="1" t="str">
        <f t="shared" si="4"/>
        <v>NON LIVRE</v>
      </c>
      <c r="AA46" s="1" t="str">
        <f t="shared" si="5"/>
        <v>NON LIVRE</v>
      </c>
      <c r="AB46" s="1" t="str">
        <f t="shared" si="6"/>
        <v>NON LIVRE</v>
      </c>
      <c r="AC46" s="1" t="str">
        <f t="shared" si="7"/>
        <v>NON LIVRE</v>
      </c>
      <c r="AD46" s="1" t="str">
        <f t="shared" si="8"/>
        <v>NON LIVRE</v>
      </c>
      <c r="AE46" s="1" t="str">
        <f t="shared" si="9"/>
        <v>NON LIVRE</v>
      </c>
      <c r="AF46" s="1" t="str">
        <f t="shared" si="10"/>
        <v>NON LIVRE</v>
      </c>
      <c r="AG46" s="1" t="str">
        <f t="shared" si="11"/>
        <v>NON LIVRE</v>
      </c>
      <c r="AH46" s="1" t="str">
        <f t="shared" si="12"/>
        <v>NON LIVRE</v>
      </c>
      <c r="AI46" s="1" t="str">
        <f t="shared" si="13"/>
        <v>NON LIVRE</v>
      </c>
      <c r="AJ46" s="1" t="str">
        <f t="shared" si="14"/>
        <v>NON LIVRE</v>
      </c>
      <c r="AK46" s="1" t="str">
        <f t="shared" si="19"/>
        <v>NON LIVRE</v>
      </c>
      <c r="AL46" s="1" t="str">
        <f t="shared" si="16"/>
        <v>NON LIVRE</v>
      </c>
      <c r="AM46" s="1" t="str">
        <f t="shared" si="0"/>
        <v>NON LIVRE</v>
      </c>
      <c r="AN46" s="1" t="str">
        <f t="shared" si="17"/>
        <v>NON LIVRE</v>
      </c>
    </row>
    <row r="47" spans="1:40" hidden="1" x14ac:dyDescent="0.3">
      <c r="A47" s="1">
        <v>25121</v>
      </c>
      <c r="B47" s="1" t="s">
        <v>55</v>
      </c>
      <c r="C47" s="3" t="s">
        <v>56</v>
      </c>
      <c r="D47" s="4">
        <v>250</v>
      </c>
      <c r="E47" s="2" t="s">
        <v>135</v>
      </c>
      <c r="F47" s="2">
        <v>45826</v>
      </c>
      <c r="G47" s="2">
        <v>45826</v>
      </c>
      <c r="H47" s="2">
        <v>45910</v>
      </c>
      <c r="I47" s="2">
        <v>45896</v>
      </c>
      <c r="J47" s="2">
        <v>45901</v>
      </c>
      <c r="L47" s="2">
        <v>45924</v>
      </c>
      <c r="M47" s="2" t="s">
        <v>199</v>
      </c>
      <c r="N47" s="2">
        <v>45919</v>
      </c>
      <c r="O47" s="2">
        <v>45925</v>
      </c>
      <c r="P47" s="2">
        <v>45954</v>
      </c>
      <c r="Q47" s="2">
        <v>45954</v>
      </c>
      <c r="R47" s="2">
        <v>45954</v>
      </c>
      <c r="S47" s="1">
        <v>1</v>
      </c>
      <c r="W47" s="1">
        <f t="shared" si="1"/>
        <v>92</v>
      </c>
      <c r="X47" s="1">
        <f t="shared" si="2"/>
        <v>92</v>
      </c>
      <c r="Y47" s="1">
        <f t="shared" si="3"/>
        <v>0</v>
      </c>
      <c r="Z47" s="1">
        <f t="shared" si="4"/>
        <v>67</v>
      </c>
      <c r="AA47" s="1">
        <f t="shared" si="5"/>
        <v>0</v>
      </c>
      <c r="AB47" s="1">
        <f t="shared" si="6"/>
        <v>60</v>
      </c>
      <c r="AC47" s="1">
        <f t="shared" si="7"/>
        <v>7</v>
      </c>
      <c r="AD47" s="1">
        <f t="shared" si="8"/>
        <v>71</v>
      </c>
      <c r="AE47" s="1">
        <f t="shared" si="9"/>
        <v>70</v>
      </c>
      <c r="AF47" s="1" t="str">
        <f t="shared" si="10"/>
        <v>PAS DE DATE PAPIER</v>
      </c>
      <c r="AG47" s="1" t="str">
        <f t="shared" si="11"/>
        <v>STOCK</v>
      </c>
      <c r="AH47" s="1">
        <f t="shared" si="12"/>
        <v>50</v>
      </c>
      <c r="AI47" s="1">
        <f t="shared" si="13"/>
        <v>53</v>
      </c>
      <c r="AJ47" s="1">
        <f t="shared" si="14"/>
        <v>17</v>
      </c>
      <c r="AK47" s="1">
        <f t="shared" si="19"/>
        <v>1</v>
      </c>
      <c r="AL47" s="1">
        <f t="shared" si="16"/>
        <v>4</v>
      </c>
      <c r="AM47" s="1">
        <f t="shared" si="0"/>
        <v>21</v>
      </c>
      <c r="AN47" s="1">
        <f t="shared" si="17"/>
        <v>0</v>
      </c>
    </row>
    <row r="48" spans="1:40" hidden="1" x14ac:dyDescent="0.3">
      <c r="A48" s="1">
        <v>25122</v>
      </c>
      <c r="B48" s="1" t="s">
        <v>9</v>
      </c>
      <c r="C48" s="3" t="s">
        <v>57</v>
      </c>
      <c r="D48" s="4">
        <v>2500</v>
      </c>
      <c r="E48" s="2" t="s">
        <v>133</v>
      </c>
      <c r="F48" s="2">
        <v>45826</v>
      </c>
      <c r="G48" s="2">
        <v>45824</v>
      </c>
      <c r="H48" s="2">
        <v>45860</v>
      </c>
      <c r="I48" s="2">
        <v>45834</v>
      </c>
      <c r="K48" s="2">
        <v>45846</v>
      </c>
      <c r="L48" s="2">
        <v>45847</v>
      </c>
      <c r="M48" s="2">
        <v>45845</v>
      </c>
      <c r="N48" s="2">
        <v>45905</v>
      </c>
      <c r="O48" s="2">
        <v>45876</v>
      </c>
      <c r="P48" s="2">
        <v>45898</v>
      </c>
      <c r="Q48" s="2">
        <v>45898</v>
      </c>
      <c r="R48" s="2">
        <v>45919</v>
      </c>
      <c r="S48" s="1">
        <v>3</v>
      </c>
      <c r="W48" s="1">
        <f t="shared" si="1"/>
        <v>67</v>
      </c>
      <c r="X48" s="1">
        <f t="shared" si="2"/>
        <v>52</v>
      </c>
      <c r="Y48" s="1">
        <f t="shared" si="3"/>
        <v>0</v>
      </c>
      <c r="Z48" s="1">
        <f t="shared" si="4"/>
        <v>57</v>
      </c>
      <c r="AA48" s="1">
        <f t="shared" si="5"/>
        <v>-4</v>
      </c>
      <c r="AB48" s="1">
        <f t="shared" si="6"/>
        <v>26</v>
      </c>
      <c r="AC48" s="1">
        <f t="shared" si="7"/>
        <v>33</v>
      </c>
      <c r="AD48" s="1">
        <f t="shared" si="8"/>
        <v>36</v>
      </c>
      <c r="AE48" s="1">
        <f t="shared" si="9"/>
        <v>15</v>
      </c>
      <c r="AF48" s="1">
        <f t="shared" si="10"/>
        <v>14</v>
      </c>
      <c r="AG48" s="1">
        <f t="shared" si="11"/>
        <v>13</v>
      </c>
      <c r="AH48" s="1">
        <f t="shared" si="12"/>
        <v>6</v>
      </c>
      <c r="AI48" s="1" t="str">
        <f t="shared" si="13"/>
        <v>PAS DE DATE VALIDATION MODELE CLIENT</v>
      </c>
      <c r="AJ48" s="1">
        <f t="shared" si="14"/>
        <v>9</v>
      </c>
      <c r="AK48" s="1">
        <f t="shared" si="19"/>
        <v>21</v>
      </c>
      <c r="AL48" s="1">
        <f t="shared" si="16"/>
        <v>21</v>
      </c>
      <c r="AM48" s="1">
        <f t="shared" si="0"/>
        <v>-7</v>
      </c>
      <c r="AN48" s="1">
        <f t="shared" si="17"/>
        <v>15</v>
      </c>
    </row>
    <row r="49" spans="1:40" hidden="1" x14ac:dyDescent="0.3">
      <c r="A49" s="1">
        <v>25123</v>
      </c>
      <c r="B49" s="1" t="s">
        <v>58</v>
      </c>
      <c r="C49" s="3" t="s">
        <v>59</v>
      </c>
      <c r="D49" s="4">
        <v>1920</v>
      </c>
      <c r="E49" s="2" t="s">
        <v>137</v>
      </c>
      <c r="F49" s="2">
        <v>45827</v>
      </c>
      <c r="H49" s="2">
        <v>45854</v>
      </c>
      <c r="I49" s="2">
        <v>45863</v>
      </c>
      <c r="L49" s="2">
        <v>45874</v>
      </c>
      <c r="N49" s="2">
        <v>45876</v>
      </c>
      <c r="O49" s="2">
        <v>45919</v>
      </c>
      <c r="P49" s="2">
        <v>45919</v>
      </c>
      <c r="Q49" s="2">
        <v>45919</v>
      </c>
      <c r="R49" s="2">
        <v>45933</v>
      </c>
      <c r="S49" s="1">
        <v>2</v>
      </c>
      <c r="W49" s="1">
        <f t="shared" si="1"/>
        <v>76</v>
      </c>
      <c r="X49" s="1">
        <f t="shared" si="2"/>
        <v>66</v>
      </c>
      <c r="Y49" s="1">
        <f t="shared" si="3"/>
        <v>0</v>
      </c>
      <c r="Z49" s="1">
        <f t="shared" si="4"/>
        <v>35</v>
      </c>
      <c r="AA49" s="1" t="str">
        <f t="shared" si="5"/>
        <v>PAS DE COMMANDE MATIERE</v>
      </c>
      <c r="AB49" s="1">
        <f t="shared" si="6"/>
        <v>32752</v>
      </c>
      <c r="AC49" s="1">
        <f t="shared" si="7"/>
        <v>16</v>
      </c>
      <c r="AD49" s="1">
        <f t="shared" si="8"/>
        <v>66</v>
      </c>
      <c r="AE49" s="1">
        <f t="shared" si="9"/>
        <v>33</v>
      </c>
      <c r="AF49" s="1" t="str">
        <f t="shared" si="10"/>
        <v>PAS DE DATE PAPIER</v>
      </c>
      <c r="AG49" s="1" t="str">
        <f t="shared" si="11"/>
        <v>PAS DE DATE CARTON</v>
      </c>
      <c r="AH49" s="1">
        <f t="shared" si="12"/>
        <v>26</v>
      </c>
      <c r="AI49" s="1" t="str">
        <f t="shared" si="13"/>
        <v>PAS DE DATE VALIDATION MODELE CLIENT</v>
      </c>
      <c r="AJ49" s="1">
        <f t="shared" si="14"/>
        <v>7</v>
      </c>
      <c r="AK49" s="1">
        <f t="shared" si="19"/>
        <v>33</v>
      </c>
      <c r="AL49" s="1">
        <f t="shared" si="16"/>
        <v>31</v>
      </c>
      <c r="AM49" s="1">
        <f t="shared" si="0"/>
        <v>0</v>
      </c>
      <c r="AN49" s="1">
        <f t="shared" si="17"/>
        <v>10</v>
      </c>
    </row>
    <row r="50" spans="1:40" hidden="1" x14ac:dyDescent="0.3">
      <c r="A50" s="1">
        <v>25124</v>
      </c>
      <c r="B50" s="1" t="s">
        <v>60</v>
      </c>
      <c r="C50" s="5" t="s">
        <v>159</v>
      </c>
      <c r="D50" s="4">
        <v>1500</v>
      </c>
      <c r="E50" s="2" t="s">
        <v>133</v>
      </c>
      <c r="F50" s="2">
        <v>45828</v>
      </c>
      <c r="G50" s="2">
        <v>45835</v>
      </c>
      <c r="H50" s="2">
        <v>45874</v>
      </c>
      <c r="I50" s="2">
        <v>45832</v>
      </c>
      <c r="J50" s="2" t="s">
        <v>315</v>
      </c>
      <c r="K50" s="2">
        <v>45846</v>
      </c>
      <c r="L50" s="2">
        <v>45834</v>
      </c>
      <c r="M50" s="2">
        <v>45845</v>
      </c>
      <c r="N50" s="2">
        <v>45919</v>
      </c>
      <c r="O50" s="2">
        <v>45905</v>
      </c>
      <c r="P50" s="2">
        <v>45933</v>
      </c>
      <c r="Q50" s="2">
        <v>45933</v>
      </c>
      <c r="R50" s="2">
        <v>45940</v>
      </c>
      <c r="S50" s="1">
        <v>2</v>
      </c>
      <c r="W50" s="1">
        <f t="shared" si="1"/>
        <v>80</v>
      </c>
      <c r="X50" s="1">
        <f t="shared" si="2"/>
        <v>75</v>
      </c>
      <c r="Y50" s="1">
        <f t="shared" si="3"/>
        <v>0</v>
      </c>
      <c r="Z50" s="1">
        <f t="shared" si="4"/>
        <v>65</v>
      </c>
      <c r="AA50" s="1">
        <f t="shared" si="5"/>
        <v>5</v>
      </c>
      <c r="AB50" s="1">
        <f t="shared" si="6"/>
        <v>27</v>
      </c>
      <c r="AC50" s="1">
        <f t="shared" si="7"/>
        <v>33</v>
      </c>
      <c r="AD50" s="1">
        <f t="shared" si="8"/>
        <v>55</v>
      </c>
      <c r="AE50" s="1">
        <f t="shared" si="9"/>
        <v>4</v>
      </c>
      <c r="AF50" s="1">
        <f t="shared" si="10"/>
        <v>12</v>
      </c>
      <c r="AG50" s="1">
        <f t="shared" si="11"/>
        <v>11</v>
      </c>
      <c r="AH50" s="1">
        <f t="shared" si="12"/>
        <v>2</v>
      </c>
      <c r="AI50" s="1" t="str">
        <f t="shared" si="13"/>
        <v>ANC FAB</v>
      </c>
      <c r="AJ50" s="1">
        <f t="shared" si="14"/>
        <v>2</v>
      </c>
      <c r="AK50" s="1">
        <f t="shared" si="19"/>
        <v>51</v>
      </c>
      <c r="AL50" s="1">
        <f t="shared" si="16"/>
        <v>10</v>
      </c>
      <c r="AM50" s="1">
        <f t="shared" si="0"/>
        <v>10</v>
      </c>
      <c r="AN50" s="1">
        <f t="shared" si="17"/>
        <v>5</v>
      </c>
    </row>
    <row r="51" spans="1:40" hidden="1" x14ac:dyDescent="0.3">
      <c r="A51" s="1">
        <v>25124</v>
      </c>
      <c r="B51" s="1" t="s">
        <v>60</v>
      </c>
      <c r="C51" s="5" t="s">
        <v>161</v>
      </c>
      <c r="D51" s="4">
        <v>1500</v>
      </c>
      <c r="E51" s="2" t="s">
        <v>133</v>
      </c>
      <c r="F51" s="2">
        <v>45828</v>
      </c>
      <c r="G51" s="2">
        <v>45834</v>
      </c>
      <c r="H51" s="2">
        <v>45912</v>
      </c>
      <c r="I51" s="2">
        <v>45832</v>
      </c>
      <c r="J51" s="2" t="s">
        <v>315</v>
      </c>
      <c r="K51" s="2">
        <v>45846</v>
      </c>
      <c r="L51" s="2">
        <v>45834</v>
      </c>
      <c r="M51" s="2">
        <v>45845</v>
      </c>
      <c r="N51" s="2">
        <v>45919</v>
      </c>
      <c r="O51" s="2">
        <v>45905</v>
      </c>
      <c r="P51" s="2">
        <v>45982</v>
      </c>
      <c r="Q51" s="2">
        <v>45940</v>
      </c>
      <c r="R51" s="2">
        <v>45947</v>
      </c>
      <c r="S51" s="1">
        <v>2</v>
      </c>
      <c r="W51" s="1">
        <f t="shared" si="1"/>
        <v>85</v>
      </c>
      <c r="X51" s="1">
        <f t="shared" si="2"/>
        <v>80</v>
      </c>
      <c r="Y51" s="1">
        <f t="shared" si="3"/>
        <v>-32</v>
      </c>
      <c r="Z51" s="1">
        <f t="shared" si="4"/>
        <v>65</v>
      </c>
      <c r="AA51" s="1">
        <f t="shared" si="5"/>
        <v>4</v>
      </c>
      <c r="AB51" s="1">
        <f t="shared" si="6"/>
        <v>56</v>
      </c>
      <c r="AC51" s="1">
        <f t="shared" si="7"/>
        <v>5</v>
      </c>
      <c r="AD51" s="1">
        <f t="shared" si="8"/>
        <v>55</v>
      </c>
      <c r="AE51" s="1">
        <f t="shared" si="9"/>
        <v>4</v>
      </c>
      <c r="AF51" s="1">
        <f t="shared" si="10"/>
        <v>12</v>
      </c>
      <c r="AG51" s="1">
        <f t="shared" si="11"/>
        <v>11</v>
      </c>
      <c r="AH51" s="1">
        <f t="shared" si="12"/>
        <v>2</v>
      </c>
      <c r="AI51" s="1" t="str">
        <f t="shared" si="13"/>
        <v>ANC FAB</v>
      </c>
      <c r="AJ51" s="1">
        <f t="shared" si="14"/>
        <v>2</v>
      </c>
      <c r="AK51" s="1">
        <f t="shared" si="19"/>
        <v>51</v>
      </c>
      <c r="AL51" s="1">
        <f t="shared" si="16"/>
        <v>10</v>
      </c>
      <c r="AM51" s="1">
        <f t="shared" si="0"/>
        <v>15</v>
      </c>
      <c r="AN51" s="1">
        <f t="shared" si="17"/>
        <v>5</v>
      </c>
    </row>
    <row r="52" spans="1:40" hidden="1" x14ac:dyDescent="0.3">
      <c r="A52" s="1">
        <v>25124</v>
      </c>
      <c r="B52" s="1" t="s">
        <v>60</v>
      </c>
      <c r="C52" s="5" t="s">
        <v>162</v>
      </c>
      <c r="D52" s="4">
        <v>2000</v>
      </c>
      <c r="E52" s="2" t="s">
        <v>133</v>
      </c>
      <c r="F52" s="2">
        <v>45828</v>
      </c>
      <c r="G52" s="2">
        <v>45834</v>
      </c>
      <c r="H52" s="2">
        <v>45877</v>
      </c>
      <c r="I52" s="2">
        <v>45832</v>
      </c>
      <c r="J52" s="2" t="s">
        <v>315</v>
      </c>
      <c r="K52" s="2">
        <v>45846</v>
      </c>
      <c r="L52" s="2">
        <v>45834</v>
      </c>
      <c r="M52" s="2">
        <v>45845</v>
      </c>
      <c r="N52" s="2">
        <v>45919</v>
      </c>
      <c r="O52" s="2">
        <v>45905</v>
      </c>
      <c r="P52" s="2">
        <v>45926</v>
      </c>
      <c r="Q52" s="2">
        <v>45926</v>
      </c>
      <c r="R52" s="2">
        <v>45933</v>
      </c>
      <c r="S52" s="1">
        <v>2</v>
      </c>
      <c r="W52" s="1">
        <f t="shared" si="1"/>
        <v>75</v>
      </c>
      <c r="X52" s="1">
        <f t="shared" si="2"/>
        <v>70</v>
      </c>
      <c r="Y52" s="1">
        <f t="shared" si="3"/>
        <v>0</v>
      </c>
      <c r="Z52" s="1">
        <f t="shared" si="4"/>
        <v>65</v>
      </c>
      <c r="AA52" s="1">
        <f t="shared" si="5"/>
        <v>4</v>
      </c>
      <c r="AB52" s="1">
        <f t="shared" si="6"/>
        <v>31</v>
      </c>
      <c r="AC52" s="1">
        <f t="shared" si="7"/>
        <v>30</v>
      </c>
      <c r="AD52" s="1">
        <f t="shared" si="8"/>
        <v>55</v>
      </c>
      <c r="AE52" s="1">
        <f t="shared" si="9"/>
        <v>4</v>
      </c>
      <c r="AF52" s="1">
        <f t="shared" si="10"/>
        <v>12</v>
      </c>
      <c r="AG52" s="1">
        <f t="shared" si="11"/>
        <v>11</v>
      </c>
      <c r="AH52" s="1">
        <f t="shared" si="12"/>
        <v>2</v>
      </c>
      <c r="AI52" s="1" t="str">
        <f t="shared" si="13"/>
        <v>ANC FAB</v>
      </c>
      <c r="AJ52" s="1">
        <f t="shared" si="14"/>
        <v>2</v>
      </c>
      <c r="AK52" s="1">
        <f t="shared" si="19"/>
        <v>51</v>
      </c>
      <c r="AL52" s="1">
        <f t="shared" si="16"/>
        <v>10</v>
      </c>
      <c r="AM52" s="1">
        <f t="shared" si="0"/>
        <v>5</v>
      </c>
      <c r="AN52" s="1">
        <f t="shared" si="17"/>
        <v>5</v>
      </c>
    </row>
    <row r="53" spans="1:40" hidden="1" x14ac:dyDescent="0.3">
      <c r="A53" s="1">
        <v>25124</v>
      </c>
      <c r="B53" s="1" t="s">
        <v>60</v>
      </c>
      <c r="C53" s="5" t="s">
        <v>163</v>
      </c>
      <c r="D53" s="4">
        <v>2000</v>
      </c>
      <c r="E53" s="2" t="s">
        <v>133</v>
      </c>
      <c r="F53" s="2">
        <v>45828</v>
      </c>
      <c r="K53" s="2">
        <v>45846</v>
      </c>
      <c r="L53" s="2">
        <v>45834</v>
      </c>
      <c r="M53" s="2">
        <v>45845</v>
      </c>
      <c r="N53" s="2">
        <v>45919</v>
      </c>
      <c r="O53" s="2">
        <v>45905</v>
      </c>
      <c r="W53" s="1" t="str">
        <f t="shared" si="1"/>
        <v>NON LIVRE</v>
      </c>
      <c r="X53" s="1" t="str">
        <f t="shared" si="2"/>
        <v>NON LIVRE</v>
      </c>
      <c r="Y53" s="1" t="str">
        <f t="shared" si="3"/>
        <v>NON LIVRE</v>
      </c>
      <c r="Z53" s="1" t="str">
        <f t="shared" si="4"/>
        <v>NON LIVRE</v>
      </c>
      <c r="AA53" s="1" t="str">
        <f t="shared" si="5"/>
        <v>NON LIVRE</v>
      </c>
      <c r="AB53" s="1" t="str">
        <f t="shared" si="6"/>
        <v>NON LIVRE</v>
      </c>
      <c r="AC53" s="1" t="str">
        <f t="shared" si="7"/>
        <v>NON LIVRE</v>
      </c>
      <c r="AD53" s="1" t="str">
        <f t="shared" si="8"/>
        <v>NON LIVRE</v>
      </c>
      <c r="AE53" s="1" t="str">
        <f t="shared" si="9"/>
        <v>NON LIVRE</v>
      </c>
      <c r="AF53" s="1" t="str">
        <f t="shared" si="10"/>
        <v>NON LIVRE</v>
      </c>
      <c r="AG53" s="1" t="str">
        <f t="shared" si="11"/>
        <v>NON LIVRE</v>
      </c>
      <c r="AH53" s="1" t="str">
        <f t="shared" si="12"/>
        <v>NON LIVRE</v>
      </c>
      <c r="AI53" s="1" t="str">
        <f t="shared" si="13"/>
        <v>NON LIVRE</v>
      </c>
      <c r="AJ53" s="1" t="str">
        <f t="shared" si="14"/>
        <v>NON LIVRE</v>
      </c>
      <c r="AK53" s="1" t="str">
        <f t="shared" si="19"/>
        <v>NON LIVRE</v>
      </c>
      <c r="AL53" s="1" t="str">
        <f t="shared" si="16"/>
        <v>NON LIVRE</v>
      </c>
      <c r="AM53" s="1" t="str">
        <f t="shared" si="0"/>
        <v>NON LIVRE</v>
      </c>
      <c r="AN53" s="1" t="str">
        <f t="shared" si="17"/>
        <v>NON LIVRE</v>
      </c>
    </row>
    <row r="54" spans="1:40" hidden="1" x14ac:dyDescent="0.3">
      <c r="A54" s="1">
        <v>25125</v>
      </c>
      <c r="B54" s="1" t="s">
        <v>43</v>
      </c>
      <c r="C54" s="3" t="s">
        <v>61</v>
      </c>
      <c r="D54" s="4">
        <v>5880</v>
      </c>
      <c r="E54" s="2" t="s">
        <v>133</v>
      </c>
      <c r="F54" s="2">
        <v>45831</v>
      </c>
      <c r="G54" s="2">
        <v>45834</v>
      </c>
      <c r="H54" s="2">
        <v>45877</v>
      </c>
      <c r="I54" s="2">
        <v>45849</v>
      </c>
      <c r="J54" s="2">
        <v>45926</v>
      </c>
      <c r="L54" s="2">
        <v>45910</v>
      </c>
      <c r="M54" s="2">
        <v>45908</v>
      </c>
      <c r="N54" s="2">
        <v>45924</v>
      </c>
      <c r="O54" s="2">
        <v>45946</v>
      </c>
      <c r="P54" s="2">
        <v>45954</v>
      </c>
      <c r="Q54" s="2">
        <v>45954</v>
      </c>
      <c r="R54" s="2">
        <v>45975</v>
      </c>
      <c r="S54" s="1">
        <v>4</v>
      </c>
      <c r="W54" s="1">
        <f t="shared" si="1"/>
        <v>104</v>
      </c>
      <c r="X54" s="1">
        <f t="shared" si="2"/>
        <v>89</v>
      </c>
      <c r="Y54" s="1">
        <f t="shared" si="3"/>
        <v>0</v>
      </c>
      <c r="Z54" s="1">
        <f t="shared" si="4"/>
        <v>67</v>
      </c>
      <c r="AA54" s="1">
        <f t="shared" si="5"/>
        <v>3</v>
      </c>
      <c r="AB54" s="1">
        <f t="shared" si="6"/>
        <v>31</v>
      </c>
      <c r="AC54" s="1">
        <f t="shared" si="7"/>
        <v>33</v>
      </c>
      <c r="AD54" s="1">
        <f t="shared" si="8"/>
        <v>83</v>
      </c>
      <c r="AE54" s="1">
        <f t="shared" si="9"/>
        <v>57</v>
      </c>
      <c r="AF54" s="1" t="str">
        <f t="shared" si="10"/>
        <v>PAS DE DATE PAPIER</v>
      </c>
      <c r="AG54" s="1">
        <f t="shared" si="11"/>
        <v>55</v>
      </c>
      <c r="AH54" s="1">
        <f t="shared" si="12"/>
        <v>14</v>
      </c>
      <c r="AI54" s="1">
        <f t="shared" si="13"/>
        <v>69</v>
      </c>
      <c r="AJ54" s="1">
        <f t="shared" si="14"/>
        <v>-14</v>
      </c>
      <c r="AK54" s="1">
        <f t="shared" si="19"/>
        <v>26</v>
      </c>
      <c r="AL54" s="1">
        <f t="shared" si="16"/>
        <v>16</v>
      </c>
      <c r="AM54" s="1">
        <f t="shared" si="0"/>
        <v>6</v>
      </c>
      <c r="AN54" s="1">
        <f t="shared" si="17"/>
        <v>15</v>
      </c>
    </row>
    <row r="55" spans="1:40" hidden="1" x14ac:dyDescent="0.3">
      <c r="A55" s="1">
        <v>25127</v>
      </c>
      <c r="B55" s="1" t="s">
        <v>8</v>
      </c>
      <c r="C55" s="5" t="s">
        <v>164</v>
      </c>
      <c r="D55" s="4">
        <v>800</v>
      </c>
      <c r="E55" s="2" t="s">
        <v>136</v>
      </c>
      <c r="F55" s="2">
        <v>45831</v>
      </c>
      <c r="W55" s="1" t="str">
        <f t="shared" si="1"/>
        <v>NON LIVRE</v>
      </c>
      <c r="X55" s="1" t="str">
        <f t="shared" si="2"/>
        <v>NON LIVRE</v>
      </c>
      <c r="Y55" s="1" t="str">
        <f t="shared" si="3"/>
        <v>NON LIVRE</v>
      </c>
      <c r="Z55" s="1" t="str">
        <f t="shared" si="4"/>
        <v>NON LIVRE</v>
      </c>
      <c r="AA55" s="1" t="str">
        <f t="shared" si="5"/>
        <v>NON LIVRE</v>
      </c>
      <c r="AB55" s="1" t="str">
        <f t="shared" si="6"/>
        <v>NON LIVRE</v>
      </c>
      <c r="AC55" s="1" t="str">
        <f t="shared" si="7"/>
        <v>NON LIVRE</v>
      </c>
      <c r="AD55" s="1" t="str">
        <f t="shared" si="8"/>
        <v>NON LIVRE</v>
      </c>
      <c r="AE55" s="1" t="str">
        <f t="shared" si="9"/>
        <v>NON LIVRE</v>
      </c>
      <c r="AF55" s="1" t="str">
        <f t="shared" si="10"/>
        <v>NON LIVRE</v>
      </c>
      <c r="AG55" s="1" t="str">
        <f t="shared" si="11"/>
        <v>NON LIVRE</v>
      </c>
      <c r="AH55" s="1" t="str">
        <f t="shared" si="12"/>
        <v>NON LIVRE</v>
      </c>
      <c r="AI55" s="1" t="str">
        <f t="shared" si="13"/>
        <v>NON LIVRE</v>
      </c>
      <c r="AJ55" s="1" t="str">
        <f t="shared" si="14"/>
        <v>NON LIVRE</v>
      </c>
      <c r="AK55" s="1" t="str">
        <f t="shared" si="19"/>
        <v>NON LIVRE</v>
      </c>
      <c r="AL55" s="1" t="str">
        <f t="shared" si="16"/>
        <v>NON LIVRE</v>
      </c>
      <c r="AM55" s="1" t="str">
        <f t="shared" si="0"/>
        <v>NON LIVRE</v>
      </c>
      <c r="AN55" s="1" t="str">
        <f t="shared" si="17"/>
        <v>NON LIVRE</v>
      </c>
    </row>
    <row r="56" spans="1:40" hidden="1" x14ac:dyDescent="0.3">
      <c r="A56" s="1">
        <v>25127</v>
      </c>
      <c r="B56" s="1" t="s">
        <v>8</v>
      </c>
      <c r="C56" s="5" t="s">
        <v>8</v>
      </c>
      <c r="D56" s="4">
        <v>200</v>
      </c>
      <c r="E56" s="2" t="s">
        <v>136</v>
      </c>
      <c r="F56" s="2">
        <v>45831</v>
      </c>
      <c r="W56" s="1" t="str">
        <f t="shared" si="1"/>
        <v>NON LIVRE</v>
      </c>
      <c r="X56" s="1" t="str">
        <f t="shared" si="2"/>
        <v>NON LIVRE</v>
      </c>
      <c r="Y56" s="1" t="str">
        <f t="shared" si="3"/>
        <v>NON LIVRE</v>
      </c>
      <c r="Z56" s="1" t="str">
        <f t="shared" si="4"/>
        <v>NON LIVRE</v>
      </c>
      <c r="AA56" s="1" t="str">
        <f t="shared" si="5"/>
        <v>NON LIVRE</v>
      </c>
      <c r="AB56" s="1" t="str">
        <f t="shared" si="6"/>
        <v>NON LIVRE</v>
      </c>
      <c r="AC56" s="1" t="str">
        <f t="shared" si="7"/>
        <v>NON LIVRE</v>
      </c>
      <c r="AD56" s="1" t="str">
        <f t="shared" si="8"/>
        <v>NON LIVRE</v>
      </c>
      <c r="AE56" s="1" t="str">
        <f t="shared" si="9"/>
        <v>NON LIVRE</v>
      </c>
      <c r="AF56" s="1" t="str">
        <f t="shared" si="10"/>
        <v>NON LIVRE</v>
      </c>
      <c r="AG56" s="1" t="str">
        <f t="shared" si="11"/>
        <v>NON LIVRE</v>
      </c>
      <c r="AH56" s="1" t="str">
        <f t="shared" si="12"/>
        <v>NON LIVRE</v>
      </c>
      <c r="AI56" s="1" t="str">
        <f t="shared" si="13"/>
        <v>NON LIVRE</v>
      </c>
      <c r="AJ56" s="1" t="str">
        <f t="shared" si="14"/>
        <v>NON LIVRE</v>
      </c>
      <c r="AK56" s="1" t="str">
        <f t="shared" si="19"/>
        <v>NON LIVRE</v>
      </c>
      <c r="AL56" s="1" t="str">
        <f t="shared" si="16"/>
        <v>NON LIVRE</v>
      </c>
      <c r="AM56" s="1" t="str">
        <f t="shared" si="0"/>
        <v>NON LIVRE</v>
      </c>
      <c r="AN56" s="1" t="str">
        <f t="shared" si="17"/>
        <v>NON LIVRE</v>
      </c>
    </row>
    <row r="57" spans="1:40" hidden="1" x14ac:dyDescent="0.3">
      <c r="A57" s="1">
        <v>25127</v>
      </c>
      <c r="B57" s="1" t="s">
        <v>8</v>
      </c>
      <c r="C57" s="5" t="s">
        <v>160</v>
      </c>
      <c r="D57" s="4">
        <v>800</v>
      </c>
      <c r="E57" s="2" t="s">
        <v>165</v>
      </c>
      <c r="F57" s="2">
        <v>45831</v>
      </c>
      <c r="W57" s="1" t="str">
        <f t="shared" si="1"/>
        <v>NON LIVRE</v>
      </c>
      <c r="X57" s="1" t="str">
        <f t="shared" si="2"/>
        <v>NON LIVRE</v>
      </c>
      <c r="Y57" s="1" t="str">
        <f t="shared" si="3"/>
        <v>NON LIVRE</v>
      </c>
      <c r="Z57" s="1" t="str">
        <f t="shared" si="4"/>
        <v>NON LIVRE</v>
      </c>
      <c r="AA57" s="1" t="str">
        <f t="shared" si="5"/>
        <v>NON LIVRE</v>
      </c>
      <c r="AB57" s="1" t="str">
        <f t="shared" si="6"/>
        <v>NON LIVRE</v>
      </c>
      <c r="AC57" s="1" t="str">
        <f t="shared" si="7"/>
        <v>NON LIVRE</v>
      </c>
      <c r="AD57" s="1" t="str">
        <f t="shared" si="8"/>
        <v>NON LIVRE</v>
      </c>
      <c r="AE57" s="1" t="str">
        <f t="shared" si="9"/>
        <v>NON LIVRE</v>
      </c>
      <c r="AF57" s="1" t="str">
        <f t="shared" si="10"/>
        <v>NON LIVRE</v>
      </c>
      <c r="AG57" s="1" t="str">
        <f t="shared" si="11"/>
        <v>NON LIVRE</v>
      </c>
      <c r="AH57" s="1" t="str">
        <f t="shared" si="12"/>
        <v>NON LIVRE</v>
      </c>
      <c r="AI57" s="1" t="str">
        <f t="shared" si="13"/>
        <v>NON LIVRE</v>
      </c>
      <c r="AJ57" s="1" t="str">
        <f t="shared" si="14"/>
        <v>NON LIVRE</v>
      </c>
      <c r="AK57" s="1" t="str">
        <f t="shared" si="19"/>
        <v>NON LIVRE</v>
      </c>
      <c r="AL57" s="1" t="str">
        <f t="shared" si="16"/>
        <v>NON LIVRE</v>
      </c>
      <c r="AM57" s="1" t="str">
        <f t="shared" si="0"/>
        <v>NON LIVRE</v>
      </c>
      <c r="AN57" s="1" t="str">
        <f t="shared" si="17"/>
        <v>NON LIVRE</v>
      </c>
    </row>
    <row r="58" spans="1:40" hidden="1" x14ac:dyDescent="0.3">
      <c r="A58" s="1">
        <v>25128</v>
      </c>
      <c r="B58" s="1" t="s">
        <v>62</v>
      </c>
      <c r="C58" s="3" t="s">
        <v>166</v>
      </c>
      <c r="D58" s="4" t="s">
        <v>63</v>
      </c>
      <c r="E58" s="2" t="s">
        <v>133</v>
      </c>
      <c r="F58" s="2">
        <v>45832</v>
      </c>
      <c r="G58" s="2">
        <v>45833</v>
      </c>
      <c r="H58" s="2">
        <v>45849</v>
      </c>
      <c r="I58" s="2">
        <v>45846</v>
      </c>
      <c r="J58" s="2" t="s">
        <v>315</v>
      </c>
      <c r="K58" s="2">
        <v>45873</v>
      </c>
      <c r="L58" s="2">
        <v>45871</v>
      </c>
      <c r="M58" s="2">
        <v>45875</v>
      </c>
      <c r="N58" s="2">
        <v>45889</v>
      </c>
      <c r="O58" s="2">
        <v>45876</v>
      </c>
      <c r="P58" s="2">
        <v>45919</v>
      </c>
      <c r="Q58" s="2">
        <v>45919</v>
      </c>
      <c r="R58" s="2">
        <v>45947</v>
      </c>
      <c r="S58" s="1">
        <v>5</v>
      </c>
      <c r="W58" s="1">
        <f t="shared" si="1"/>
        <v>83</v>
      </c>
      <c r="X58" s="1">
        <f t="shared" si="2"/>
        <v>63</v>
      </c>
      <c r="Y58" s="1">
        <f t="shared" si="3"/>
        <v>0</v>
      </c>
      <c r="Z58" s="1">
        <f t="shared" si="4"/>
        <v>41</v>
      </c>
      <c r="AA58" s="1">
        <f t="shared" si="5"/>
        <v>1</v>
      </c>
      <c r="AB58" s="1">
        <f t="shared" si="6"/>
        <v>12</v>
      </c>
      <c r="AC58" s="1">
        <f t="shared" si="7"/>
        <v>28</v>
      </c>
      <c r="AD58" s="1">
        <f t="shared" si="8"/>
        <v>32</v>
      </c>
      <c r="AE58" s="1">
        <f t="shared" si="9"/>
        <v>28</v>
      </c>
      <c r="AF58" s="1">
        <f t="shared" si="10"/>
        <v>29</v>
      </c>
      <c r="AG58" s="1">
        <f t="shared" si="11"/>
        <v>31</v>
      </c>
      <c r="AH58" s="1">
        <f t="shared" si="12"/>
        <v>10</v>
      </c>
      <c r="AI58" s="1" t="str">
        <f t="shared" si="13"/>
        <v>ANC FAB</v>
      </c>
      <c r="AJ58" s="1">
        <f t="shared" si="14"/>
        <v>18</v>
      </c>
      <c r="AK58" s="1">
        <f t="shared" si="19"/>
        <v>3</v>
      </c>
      <c r="AL58" s="1">
        <f t="shared" si="16"/>
        <v>9</v>
      </c>
      <c r="AM58" s="1">
        <f t="shared" si="0"/>
        <v>22</v>
      </c>
      <c r="AN58" s="1">
        <f t="shared" si="17"/>
        <v>20</v>
      </c>
    </row>
    <row r="59" spans="1:40" hidden="1" x14ac:dyDescent="0.3">
      <c r="A59" s="1">
        <v>25128</v>
      </c>
      <c r="B59" s="1" t="s">
        <v>62</v>
      </c>
      <c r="C59" s="3" t="s">
        <v>170</v>
      </c>
      <c r="D59" s="4" t="s">
        <v>64</v>
      </c>
      <c r="E59" s="2" t="s">
        <v>133</v>
      </c>
      <c r="F59" s="2">
        <v>45832</v>
      </c>
      <c r="G59" s="2">
        <v>45833</v>
      </c>
      <c r="H59" s="2">
        <v>45849</v>
      </c>
      <c r="I59" s="2">
        <v>45846</v>
      </c>
      <c r="J59" s="2" t="s">
        <v>315</v>
      </c>
      <c r="K59" s="2">
        <v>45873</v>
      </c>
      <c r="L59" s="2">
        <v>45874</v>
      </c>
      <c r="M59" s="2">
        <v>45875</v>
      </c>
      <c r="N59" s="2">
        <v>45889</v>
      </c>
      <c r="O59" s="2">
        <v>45882</v>
      </c>
      <c r="P59" s="2">
        <v>45919</v>
      </c>
      <c r="Q59" s="2">
        <v>45919</v>
      </c>
      <c r="R59" s="2">
        <v>45933</v>
      </c>
      <c r="S59" s="1">
        <v>2</v>
      </c>
      <c r="W59" s="1">
        <f t="shared" si="1"/>
        <v>73</v>
      </c>
      <c r="X59" s="1">
        <f t="shared" si="2"/>
        <v>63</v>
      </c>
      <c r="Y59" s="1">
        <f t="shared" si="3"/>
        <v>0</v>
      </c>
      <c r="Z59" s="1">
        <f t="shared" si="4"/>
        <v>41</v>
      </c>
      <c r="AA59" s="1">
        <f t="shared" si="5"/>
        <v>1</v>
      </c>
      <c r="AB59" s="1">
        <f t="shared" si="6"/>
        <v>12</v>
      </c>
      <c r="AC59" s="1">
        <f t="shared" si="7"/>
        <v>28</v>
      </c>
      <c r="AD59" s="1">
        <f t="shared" si="8"/>
        <v>36</v>
      </c>
      <c r="AE59" s="1">
        <f t="shared" si="9"/>
        <v>30</v>
      </c>
      <c r="AF59" s="1">
        <f t="shared" si="10"/>
        <v>29</v>
      </c>
      <c r="AG59" s="1">
        <f t="shared" si="11"/>
        <v>31</v>
      </c>
      <c r="AH59" s="1">
        <f t="shared" si="12"/>
        <v>10</v>
      </c>
      <c r="AI59" s="1" t="str">
        <f t="shared" si="13"/>
        <v>ANC FAB</v>
      </c>
      <c r="AJ59" s="1">
        <f t="shared" si="14"/>
        <v>20</v>
      </c>
      <c r="AK59" s="1">
        <f t="shared" si="19"/>
        <v>6</v>
      </c>
      <c r="AL59" s="1">
        <f t="shared" si="16"/>
        <v>5</v>
      </c>
      <c r="AM59" s="1">
        <f t="shared" si="0"/>
        <v>22</v>
      </c>
      <c r="AN59" s="1">
        <f t="shared" si="17"/>
        <v>10</v>
      </c>
    </row>
    <row r="60" spans="1:40" hidden="1" x14ac:dyDescent="0.3">
      <c r="A60" s="1">
        <v>25128</v>
      </c>
      <c r="B60" s="1" t="s">
        <v>62</v>
      </c>
      <c r="C60" s="3" t="s">
        <v>167</v>
      </c>
      <c r="D60" s="4" t="s">
        <v>65</v>
      </c>
      <c r="E60" s="2" t="s">
        <v>133</v>
      </c>
      <c r="F60" s="2">
        <v>45832</v>
      </c>
      <c r="W60" s="1" t="str">
        <f t="shared" si="1"/>
        <v>NON LIVRE</v>
      </c>
      <c r="X60" s="1" t="str">
        <f t="shared" si="2"/>
        <v>NON LIVRE</v>
      </c>
      <c r="Y60" s="1" t="str">
        <f t="shared" si="3"/>
        <v>NON LIVRE</v>
      </c>
      <c r="Z60" s="1" t="str">
        <f t="shared" si="4"/>
        <v>NON LIVRE</v>
      </c>
      <c r="AA60" s="1" t="str">
        <f t="shared" si="5"/>
        <v>NON LIVRE</v>
      </c>
      <c r="AB60" s="1" t="str">
        <f t="shared" si="6"/>
        <v>NON LIVRE</v>
      </c>
      <c r="AC60" s="1" t="str">
        <f t="shared" si="7"/>
        <v>NON LIVRE</v>
      </c>
      <c r="AD60" s="1" t="str">
        <f t="shared" si="8"/>
        <v>NON LIVRE</v>
      </c>
      <c r="AE60" s="1" t="str">
        <f t="shared" si="9"/>
        <v>NON LIVRE</v>
      </c>
      <c r="AF60" s="1" t="str">
        <f t="shared" si="10"/>
        <v>NON LIVRE</v>
      </c>
      <c r="AG60" s="1" t="str">
        <f t="shared" si="11"/>
        <v>NON LIVRE</v>
      </c>
      <c r="AH60" s="1" t="str">
        <f t="shared" si="12"/>
        <v>NON LIVRE</v>
      </c>
      <c r="AI60" s="1" t="str">
        <f t="shared" si="13"/>
        <v>NON LIVRE</v>
      </c>
      <c r="AJ60" s="1" t="str">
        <f t="shared" si="14"/>
        <v>NON LIVRE</v>
      </c>
      <c r="AK60" s="1" t="str">
        <f t="shared" si="19"/>
        <v>NON LIVRE</v>
      </c>
      <c r="AL60" s="1" t="str">
        <f t="shared" si="16"/>
        <v>NON LIVRE</v>
      </c>
      <c r="AM60" s="1" t="str">
        <f t="shared" si="0"/>
        <v>NON LIVRE</v>
      </c>
      <c r="AN60" s="1" t="str">
        <f t="shared" si="17"/>
        <v>NON LIVRE</v>
      </c>
    </row>
    <row r="61" spans="1:40" hidden="1" x14ac:dyDescent="0.3">
      <c r="A61" s="1">
        <v>25128</v>
      </c>
      <c r="B61" s="1" t="s">
        <v>62</v>
      </c>
      <c r="C61" s="3" t="s">
        <v>168</v>
      </c>
      <c r="D61" s="4" t="s">
        <v>66</v>
      </c>
      <c r="E61" s="2" t="s">
        <v>133</v>
      </c>
      <c r="F61" s="2">
        <v>45832</v>
      </c>
      <c r="W61" s="1" t="str">
        <f t="shared" si="1"/>
        <v>NON LIVRE</v>
      </c>
      <c r="X61" s="1" t="str">
        <f t="shared" si="2"/>
        <v>NON LIVRE</v>
      </c>
      <c r="Y61" s="1" t="str">
        <f t="shared" si="3"/>
        <v>NON LIVRE</v>
      </c>
      <c r="Z61" s="1" t="str">
        <f t="shared" si="4"/>
        <v>NON LIVRE</v>
      </c>
      <c r="AA61" s="1" t="str">
        <f t="shared" si="5"/>
        <v>NON LIVRE</v>
      </c>
      <c r="AB61" s="1" t="str">
        <f t="shared" si="6"/>
        <v>NON LIVRE</v>
      </c>
      <c r="AC61" s="1" t="str">
        <f t="shared" si="7"/>
        <v>NON LIVRE</v>
      </c>
      <c r="AD61" s="1" t="str">
        <f t="shared" si="8"/>
        <v>NON LIVRE</v>
      </c>
      <c r="AE61" s="1" t="str">
        <f t="shared" si="9"/>
        <v>NON LIVRE</v>
      </c>
      <c r="AF61" s="1" t="str">
        <f t="shared" si="10"/>
        <v>NON LIVRE</v>
      </c>
      <c r="AG61" s="1" t="str">
        <f t="shared" si="11"/>
        <v>NON LIVRE</v>
      </c>
      <c r="AH61" s="1" t="str">
        <f t="shared" si="12"/>
        <v>NON LIVRE</v>
      </c>
      <c r="AI61" s="1" t="str">
        <f t="shared" si="13"/>
        <v>NON LIVRE</v>
      </c>
      <c r="AJ61" s="1" t="str">
        <f t="shared" si="14"/>
        <v>NON LIVRE</v>
      </c>
      <c r="AK61" s="1" t="str">
        <f t="shared" si="19"/>
        <v>NON LIVRE</v>
      </c>
      <c r="AL61" s="1" t="str">
        <f t="shared" si="16"/>
        <v>NON LIVRE</v>
      </c>
      <c r="AM61" s="1" t="str">
        <f t="shared" si="0"/>
        <v>NON LIVRE</v>
      </c>
      <c r="AN61" s="1" t="str">
        <f t="shared" si="17"/>
        <v>NON LIVRE</v>
      </c>
    </row>
    <row r="62" spans="1:40" hidden="1" x14ac:dyDescent="0.3">
      <c r="A62" s="1">
        <v>25128</v>
      </c>
      <c r="B62" s="1" t="s">
        <v>62</v>
      </c>
      <c r="C62" s="3" t="s">
        <v>169</v>
      </c>
      <c r="D62" s="4" t="s">
        <v>67</v>
      </c>
      <c r="E62" s="2" t="s">
        <v>133</v>
      </c>
      <c r="F62" s="2">
        <v>45832</v>
      </c>
      <c r="W62" s="1" t="str">
        <f t="shared" si="1"/>
        <v>NON LIVRE</v>
      </c>
      <c r="X62" s="1" t="str">
        <f t="shared" si="2"/>
        <v>NON LIVRE</v>
      </c>
      <c r="Y62" s="1" t="str">
        <f t="shared" si="3"/>
        <v>NON LIVRE</v>
      </c>
      <c r="Z62" s="1" t="str">
        <f t="shared" si="4"/>
        <v>NON LIVRE</v>
      </c>
      <c r="AA62" s="1" t="str">
        <f t="shared" si="5"/>
        <v>NON LIVRE</v>
      </c>
      <c r="AB62" s="1" t="str">
        <f t="shared" si="6"/>
        <v>NON LIVRE</v>
      </c>
      <c r="AC62" s="1" t="str">
        <f t="shared" si="7"/>
        <v>NON LIVRE</v>
      </c>
      <c r="AD62" s="1" t="str">
        <f t="shared" si="8"/>
        <v>NON LIVRE</v>
      </c>
      <c r="AE62" s="1" t="str">
        <f t="shared" si="9"/>
        <v>NON LIVRE</v>
      </c>
      <c r="AF62" s="1" t="str">
        <f t="shared" si="10"/>
        <v>NON LIVRE</v>
      </c>
      <c r="AG62" s="1" t="str">
        <f t="shared" si="11"/>
        <v>NON LIVRE</v>
      </c>
      <c r="AH62" s="1" t="str">
        <f t="shared" si="12"/>
        <v>NON LIVRE</v>
      </c>
      <c r="AI62" s="1" t="str">
        <f t="shared" si="13"/>
        <v>NON LIVRE</v>
      </c>
      <c r="AJ62" s="1" t="str">
        <f t="shared" si="14"/>
        <v>NON LIVRE</v>
      </c>
      <c r="AK62" s="1" t="str">
        <f t="shared" si="19"/>
        <v>NON LIVRE</v>
      </c>
      <c r="AL62" s="1" t="str">
        <f t="shared" si="16"/>
        <v>NON LIVRE</v>
      </c>
      <c r="AM62" s="1" t="str">
        <f t="shared" si="0"/>
        <v>NON LIVRE</v>
      </c>
      <c r="AN62" s="1" t="str">
        <f t="shared" si="17"/>
        <v>NON LIVRE</v>
      </c>
    </row>
    <row r="63" spans="1:40" hidden="1" x14ac:dyDescent="0.3">
      <c r="A63" s="1">
        <v>25129</v>
      </c>
      <c r="B63" s="1" t="s">
        <v>62</v>
      </c>
      <c r="C63" s="3" t="s">
        <v>171</v>
      </c>
      <c r="D63" s="4" t="s">
        <v>68</v>
      </c>
      <c r="E63" s="2" t="s">
        <v>133</v>
      </c>
      <c r="F63" s="2">
        <v>45832</v>
      </c>
      <c r="G63" s="2">
        <v>45833</v>
      </c>
      <c r="H63" s="2">
        <v>45904</v>
      </c>
      <c r="I63" s="2">
        <v>45847</v>
      </c>
      <c r="J63" s="2" t="s">
        <v>315</v>
      </c>
      <c r="K63" s="2">
        <v>45860</v>
      </c>
      <c r="L63" s="2">
        <v>45875</v>
      </c>
      <c r="M63" s="2">
        <v>45875</v>
      </c>
      <c r="N63" s="2">
        <v>45905</v>
      </c>
      <c r="O63" s="2">
        <v>45882</v>
      </c>
      <c r="P63" s="2">
        <v>45926</v>
      </c>
      <c r="Q63" s="2">
        <v>45926</v>
      </c>
      <c r="R63" s="2">
        <v>45940</v>
      </c>
      <c r="S63" s="1">
        <v>3</v>
      </c>
      <c r="W63" s="1">
        <f t="shared" ref="W63:W126" si="20">IF($R63="","NON LIVRE",NETWORKDAYS($F63,$R63)-1)</f>
        <v>78</v>
      </c>
      <c r="X63" s="1">
        <f t="shared" ref="X63:X126" si="21">IF($Q63="","NON LIVRE",NETWORKDAYS($F63,$Q63)-1)</f>
        <v>68</v>
      </c>
      <c r="Y63" s="1">
        <f t="shared" ref="Y63:Y126" si="22">IF($Q63="","NON LIVRE",NETWORKDAYS($P63,$Q63)-1)</f>
        <v>0</v>
      </c>
      <c r="Z63" s="1">
        <f t="shared" si="4"/>
        <v>53</v>
      </c>
      <c r="AA63" s="1">
        <f t="shared" ref="AA63:AA126" si="23">IFERROR(IF($R63="","NON LIVRE",IF($G63="","PAS DE COMMANDE MATIERE",NETWORKDAYS($F63,$G63)-1)),$G63)</f>
        <v>1</v>
      </c>
      <c r="AB63" s="1">
        <f t="shared" si="6"/>
        <v>51</v>
      </c>
      <c r="AC63" s="1">
        <f t="shared" si="7"/>
        <v>1</v>
      </c>
      <c r="AD63" s="1">
        <f t="shared" ref="AD63:AD126" si="24">IFERROR(IF($R63="","NON LIVRE",IF($O63="","PAS DE DEPART TIRAGES OU ACHATS",NETWORKDAYS($F63,$O63)-1)),$O63)</f>
        <v>36</v>
      </c>
      <c r="AE63" s="1">
        <f t="shared" si="9"/>
        <v>31</v>
      </c>
      <c r="AF63" s="1">
        <f t="shared" si="10"/>
        <v>20</v>
      </c>
      <c r="AG63" s="1">
        <f t="shared" si="11"/>
        <v>31</v>
      </c>
      <c r="AH63" s="1">
        <f t="shared" si="12"/>
        <v>11</v>
      </c>
      <c r="AI63" s="1" t="str">
        <f t="shared" si="13"/>
        <v>ANC FAB</v>
      </c>
      <c r="AJ63" s="1">
        <f t="shared" si="14"/>
        <v>20</v>
      </c>
      <c r="AK63" s="1">
        <f t="shared" si="19"/>
        <v>5</v>
      </c>
      <c r="AL63" s="1">
        <f t="shared" si="16"/>
        <v>17</v>
      </c>
      <c r="AM63" s="1">
        <f t="shared" si="0"/>
        <v>15</v>
      </c>
      <c r="AN63" s="1">
        <f t="shared" si="17"/>
        <v>10</v>
      </c>
    </row>
    <row r="64" spans="1:40" hidden="1" x14ac:dyDescent="0.3">
      <c r="A64" s="1">
        <v>25129</v>
      </c>
      <c r="B64" s="1" t="s">
        <v>62</v>
      </c>
      <c r="C64" s="3" t="s">
        <v>172</v>
      </c>
      <c r="D64" s="4" t="s">
        <v>69</v>
      </c>
      <c r="E64" s="2" t="s">
        <v>133</v>
      </c>
      <c r="F64" s="2">
        <v>45832</v>
      </c>
      <c r="W64" s="1" t="str">
        <f t="shared" si="20"/>
        <v>NON LIVRE</v>
      </c>
      <c r="X64" s="1" t="str">
        <f t="shared" si="21"/>
        <v>NON LIVRE</v>
      </c>
      <c r="Y64" s="1" t="str">
        <f t="shared" si="22"/>
        <v>NON LIVRE</v>
      </c>
      <c r="Z64" s="1" t="str">
        <f t="shared" si="4"/>
        <v>NON LIVRE</v>
      </c>
      <c r="AA64" s="1" t="str">
        <f t="shared" si="23"/>
        <v>NON LIVRE</v>
      </c>
      <c r="AB64" s="1" t="str">
        <f t="shared" si="6"/>
        <v>NON LIVRE</v>
      </c>
      <c r="AC64" s="1" t="str">
        <f t="shared" si="7"/>
        <v>NON LIVRE</v>
      </c>
      <c r="AD64" s="1" t="str">
        <f t="shared" si="24"/>
        <v>NON LIVRE</v>
      </c>
      <c r="AE64" s="1" t="str">
        <f t="shared" si="9"/>
        <v>NON LIVRE</v>
      </c>
      <c r="AF64" s="1" t="str">
        <f t="shared" si="10"/>
        <v>NON LIVRE</v>
      </c>
      <c r="AG64" s="1" t="str">
        <f t="shared" si="11"/>
        <v>NON LIVRE</v>
      </c>
      <c r="AH64" s="1" t="str">
        <f t="shared" si="12"/>
        <v>NON LIVRE</v>
      </c>
      <c r="AI64" s="1" t="str">
        <f t="shared" si="13"/>
        <v>NON LIVRE</v>
      </c>
      <c r="AJ64" s="1" t="str">
        <f t="shared" si="14"/>
        <v>NON LIVRE</v>
      </c>
      <c r="AK64" s="1" t="str">
        <f t="shared" si="19"/>
        <v>NON LIVRE</v>
      </c>
      <c r="AL64" s="1" t="str">
        <f t="shared" si="16"/>
        <v>NON LIVRE</v>
      </c>
      <c r="AM64" s="1" t="str">
        <f t="shared" si="0"/>
        <v>NON LIVRE</v>
      </c>
      <c r="AN64" s="1" t="str">
        <f t="shared" si="17"/>
        <v>NON LIVRE</v>
      </c>
    </row>
    <row r="65" spans="1:40" hidden="1" x14ac:dyDescent="0.3">
      <c r="A65" s="1">
        <v>25129</v>
      </c>
      <c r="B65" s="1" t="s">
        <v>62</v>
      </c>
      <c r="C65" s="3" t="s">
        <v>173</v>
      </c>
      <c r="D65" s="4" t="s">
        <v>70</v>
      </c>
      <c r="E65" s="2" t="s">
        <v>133</v>
      </c>
      <c r="F65" s="2">
        <v>45832</v>
      </c>
      <c r="W65" s="1" t="str">
        <f t="shared" si="20"/>
        <v>NON LIVRE</v>
      </c>
      <c r="X65" s="1" t="str">
        <f t="shared" si="21"/>
        <v>NON LIVRE</v>
      </c>
      <c r="Y65" s="1" t="str">
        <f t="shared" si="22"/>
        <v>NON LIVRE</v>
      </c>
      <c r="Z65" s="1" t="str">
        <f t="shared" si="4"/>
        <v>NON LIVRE</v>
      </c>
      <c r="AA65" s="1" t="str">
        <f t="shared" si="23"/>
        <v>NON LIVRE</v>
      </c>
      <c r="AB65" s="1" t="str">
        <f t="shared" si="6"/>
        <v>NON LIVRE</v>
      </c>
      <c r="AC65" s="1" t="str">
        <f t="shared" si="7"/>
        <v>NON LIVRE</v>
      </c>
      <c r="AD65" s="1" t="str">
        <f t="shared" si="24"/>
        <v>NON LIVRE</v>
      </c>
      <c r="AE65" s="1" t="str">
        <f t="shared" si="9"/>
        <v>NON LIVRE</v>
      </c>
      <c r="AF65" s="1" t="str">
        <f t="shared" si="10"/>
        <v>NON LIVRE</v>
      </c>
      <c r="AG65" s="1" t="str">
        <f t="shared" si="11"/>
        <v>NON LIVRE</v>
      </c>
      <c r="AH65" s="1" t="str">
        <f t="shared" si="12"/>
        <v>NON LIVRE</v>
      </c>
      <c r="AI65" s="1" t="str">
        <f t="shared" si="13"/>
        <v>NON LIVRE</v>
      </c>
      <c r="AJ65" s="1" t="str">
        <f t="shared" si="14"/>
        <v>NON LIVRE</v>
      </c>
      <c r="AK65" s="1" t="str">
        <f t="shared" si="19"/>
        <v>NON LIVRE</v>
      </c>
      <c r="AL65" s="1" t="str">
        <f t="shared" si="16"/>
        <v>NON LIVRE</v>
      </c>
      <c r="AM65" s="1" t="str">
        <f t="shared" si="0"/>
        <v>NON LIVRE</v>
      </c>
      <c r="AN65" s="1" t="str">
        <f t="shared" si="17"/>
        <v>NON LIVRE</v>
      </c>
    </row>
    <row r="66" spans="1:40" hidden="1" x14ac:dyDescent="0.3">
      <c r="A66" s="1">
        <v>25129</v>
      </c>
      <c r="B66" s="1" t="s">
        <v>62</v>
      </c>
      <c r="C66" s="3" t="s">
        <v>175</v>
      </c>
      <c r="D66" s="4" t="s">
        <v>71</v>
      </c>
      <c r="E66" s="2" t="s">
        <v>133</v>
      </c>
      <c r="F66" s="2">
        <v>45832</v>
      </c>
      <c r="W66" s="1" t="str">
        <f t="shared" si="20"/>
        <v>NON LIVRE</v>
      </c>
      <c r="X66" s="1" t="str">
        <f t="shared" si="21"/>
        <v>NON LIVRE</v>
      </c>
      <c r="Y66" s="1" t="str">
        <f t="shared" si="22"/>
        <v>NON LIVRE</v>
      </c>
      <c r="Z66" s="1" t="str">
        <f t="shared" si="4"/>
        <v>NON LIVRE</v>
      </c>
      <c r="AA66" s="1" t="str">
        <f t="shared" si="23"/>
        <v>NON LIVRE</v>
      </c>
      <c r="AB66" s="1" t="str">
        <f t="shared" si="6"/>
        <v>NON LIVRE</v>
      </c>
      <c r="AC66" s="1" t="str">
        <f t="shared" si="7"/>
        <v>NON LIVRE</v>
      </c>
      <c r="AD66" s="1" t="str">
        <f t="shared" si="24"/>
        <v>NON LIVRE</v>
      </c>
      <c r="AE66" s="1" t="str">
        <f t="shared" si="9"/>
        <v>NON LIVRE</v>
      </c>
      <c r="AF66" s="1" t="str">
        <f t="shared" si="10"/>
        <v>NON LIVRE</v>
      </c>
      <c r="AG66" s="1" t="str">
        <f t="shared" si="11"/>
        <v>NON LIVRE</v>
      </c>
      <c r="AH66" s="1" t="str">
        <f t="shared" si="12"/>
        <v>NON LIVRE</v>
      </c>
      <c r="AI66" s="1" t="str">
        <f t="shared" si="13"/>
        <v>NON LIVRE</v>
      </c>
      <c r="AJ66" s="1" t="str">
        <f t="shared" si="14"/>
        <v>NON LIVRE</v>
      </c>
      <c r="AK66" s="1" t="str">
        <f t="shared" si="19"/>
        <v>NON LIVRE</v>
      </c>
      <c r="AL66" s="1" t="str">
        <f t="shared" si="16"/>
        <v>NON LIVRE</v>
      </c>
      <c r="AM66" s="1" t="str">
        <f t="shared" ref="AM66:AM129" si="25">IFERROR(IF($R66="","NON LIVRE",IF(MAX($N66,$O66)=0,"PAS D'EXPEDITION DE MATIERE, D'IMPRESSION, OU D'ACHAT",NETWORKDAYS(MAX($N66,$O66),$Q66)-1)),"PAS D'EXPEDITION DE MATIERE, D'IMPRESSION, OU D'ACHAT")</f>
        <v>NON LIVRE</v>
      </c>
      <c r="AN66" s="1" t="str">
        <f t="shared" si="17"/>
        <v>NON LIVRE</v>
      </c>
    </row>
    <row r="67" spans="1:40" hidden="1" x14ac:dyDescent="0.3">
      <c r="A67" s="1">
        <v>25129</v>
      </c>
      <c r="B67" s="1" t="s">
        <v>62</v>
      </c>
      <c r="C67" s="3" t="s">
        <v>174</v>
      </c>
      <c r="D67" s="4" t="s">
        <v>72</v>
      </c>
      <c r="E67" s="2" t="s">
        <v>133</v>
      </c>
      <c r="F67" s="2">
        <v>45832</v>
      </c>
      <c r="W67" s="1" t="str">
        <f t="shared" si="20"/>
        <v>NON LIVRE</v>
      </c>
      <c r="X67" s="1" t="str">
        <f t="shared" si="21"/>
        <v>NON LIVRE</v>
      </c>
      <c r="Y67" s="1" t="str">
        <f t="shared" si="22"/>
        <v>NON LIVRE</v>
      </c>
      <c r="Z67" s="1" t="str">
        <f t="shared" ref="Z67:Z130" si="26">IFERROR(IF($R67="","NON LIVRE",IF($N67="","PAS DE DEPART MATIERE",NETWORKDAYS($F67,$N67)-1)),$N67)</f>
        <v>NON LIVRE</v>
      </c>
      <c r="AA67" s="1" t="str">
        <f t="shared" si="23"/>
        <v>NON LIVRE</v>
      </c>
      <c r="AB67" s="1" t="str">
        <f t="shared" ref="AB67:AB130" si="27">IFERROR(IF($R67="","NON LIVRE",IF($H67="","PAS DE COMMANDE MATIERE",NETWORKDAYS($G67,$H67)-1)),$H67)</f>
        <v>NON LIVRE</v>
      </c>
      <c r="AC67" s="1" t="str">
        <f t="shared" ref="AC67:AC130" si="28">IFERROR(IF($R67="","NON LIVRE",IF($N67="","PAS DE COMMANDE MATIERE",NETWORKDAYS($H67,$N67)-1)),$N67)</f>
        <v>NON LIVRE</v>
      </c>
      <c r="AD67" s="1" t="str">
        <f t="shared" si="24"/>
        <v>NON LIVRE</v>
      </c>
      <c r="AE67" s="1" t="str">
        <f t="shared" ref="AE67:AE130" si="29">IFERROR(IF($R67="","NON LIVRE",IF($L67="","PAS DE DATE IMPRESSION",NETWORKDAYS($F67,$L67)-1)),$L67)</f>
        <v>NON LIVRE</v>
      </c>
      <c r="AF67" s="1" t="str">
        <f t="shared" ref="AF67:AF130" si="30">IFERROR(IF($R67="","NON LIVRE",IF($K67="","PAS DE DATE PAPIER",NETWORKDAYS($F67,$K67)-1)),$K67)</f>
        <v>NON LIVRE</v>
      </c>
      <c r="AG67" s="1" t="str">
        <f t="shared" ref="AG67:AG130" si="31">IFERROR(IF($R67="","NON LIVRE",IF($M67="","PAS DE DATE CARTON",NETWORKDAYS($F67,$M67)-1)),$M67)</f>
        <v>NON LIVRE</v>
      </c>
      <c r="AH67" s="1" t="str">
        <f t="shared" ref="AH67:AH130" si="32">IFERROR(IF($R67="","NON LIVRE",IF($I67="","PAS DE DATE FICHIER",NETWORKDAYS($F67,$I67)-1)),$I67)</f>
        <v>NON LIVRE</v>
      </c>
      <c r="AI67" s="1" t="str">
        <f t="shared" ref="AI67:AI130" si="33">IFERROR(IF($R67="","NON LIVRE",IF($J67="","PAS DE DATE VALIDATION MODELE CLIENT",NETWORKDAYS($F67,$J67)-1)),$J67)</f>
        <v>NON LIVRE</v>
      </c>
      <c r="AJ67" s="1" t="str">
        <f t="shared" ref="AJ67:AJ130" si="34">IFERROR(IF($R67="","NON LIVRE",IF($L67="","PAS DE DATE IMPRESSION",NETWORKDAYS(MAX($I67,$J67),$L67)-1)),$L67)</f>
        <v>NON LIVRE</v>
      </c>
      <c r="AK67" s="1" t="str">
        <f t="shared" si="19"/>
        <v>NON LIVRE</v>
      </c>
      <c r="AL67" s="1" t="str">
        <f t="shared" ref="AL67:AL130" si="35">IFERROR(IF($R67="","NON LIVRE",IF(MAX($N67,$O67)=0,"PAS D'EXPEDITION DE MATIERE, D'IMPRESSION, OU D'ACHAT",NETWORKDAYS(MIN($N67,$O67),MAX($N67,$O67))-1)),"PAS D'EXPEDITION DE MATIERE, D'IMPRESSION, OU D'ACHAT")</f>
        <v>NON LIVRE</v>
      </c>
      <c r="AM67" s="1" t="str">
        <f t="shared" si="25"/>
        <v>NON LIVRE</v>
      </c>
      <c r="AN67" s="1" t="str">
        <f t="shared" ref="AN67:AN130" si="36">IFERROR(IF($R67="","NON LIVRE",IF($N67="","PAS D'IMPRESSION",IF($O67="","PAS DE DATE VALIDATION MODELE CLIENT",NETWORKDAYS($Q67,R67)-1))),$O67)</f>
        <v>NON LIVRE</v>
      </c>
    </row>
    <row r="68" spans="1:40" hidden="1" x14ac:dyDescent="0.3">
      <c r="A68" s="1">
        <v>25132</v>
      </c>
      <c r="B68" s="1" t="s">
        <v>73</v>
      </c>
      <c r="C68" s="3" t="s">
        <v>74</v>
      </c>
      <c r="D68" s="4">
        <v>100</v>
      </c>
      <c r="E68" s="2" t="s">
        <v>176</v>
      </c>
      <c r="F68" s="2">
        <v>45833</v>
      </c>
      <c r="H68" s="2">
        <v>45919</v>
      </c>
      <c r="I68" s="2">
        <v>45848</v>
      </c>
      <c r="L68" s="2">
        <v>45904</v>
      </c>
      <c r="N68" s="2">
        <v>45926</v>
      </c>
      <c r="O68" s="2">
        <v>45946</v>
      </c>
      <c r="P68" s="2">
        <v>45947</v>
      </c>
      <c r="Q68" s="2">
        <v>45947</v>
      </c>
      <c r="R68" s="2">
        <v>45954</v>
      </c>
      <c r="S68" s="1">
        <v>2</v>
      </c>
      <c r="W68" s="1">
        <f t="shared" si="20"/>
        <v>87</v>
      </c>
      <c r="X68" s="1">
        <f t="shared" si="21"/>
        <v>82</v>
      </c>
      <c r="Y68" s="1">
        <f t="shared" si="22"/>
        <v>0</v>
      </c>
      <c r="Z68" s="1">
        <f t="shared" si="26"/>
        <v>67</v>
      </c>
      <c r="AA68" s="1" t="str">
        <f t="shared" si="23"/>
        <v>PAS DE COMMANDE MATIERE</v>
      </c>
      <c r="AB68" s="1">
        <f t="shared" si="27"/>
        <v>32799</v>
      </c>
      <c r="AC68" s="1">
        <f t="shared" si="28"/>
        <v>5</v>
      </c>
      <c r="AD68" s="1">
        <f t="shared" si="24"/>
        <v>81</v>
      </c>
      <c r="AE68" s="1">
        <f t="shared" si="29"/>
        <v>51</v>
      </c>
      <c r="AF68" s="1" t="str">
        <f t="shared" si="30"/>
        <v>PAS DE DATE PAPIER</v>
      </c>
      <c r="AG68" s="1" t="str">
        <f t="shared" si="31"/>
        <v>PAS DE DATE CARTON</v>
      </c>
      <c r="AH68" s="1">
        <f t="shared" si="32"/>
        <v>11</v>
      </c>
      <c r="AI68" s="1" t="str">
        <f t="shared" si="33"/>
        <v>PAS DE DATE VALIDATION MODELE CLIENT</v>
      </c>
      <c r="AJ68" s="1">
        <f t="shared" si="34"/>
        <v>40</v>
      </c>
      <c r="AK68" s="1">
        <f t="shared" si="19"/>
        <v>30</v>
      </c>
      <c r="AL68" s="1">
        <f t="shared" si="35"/>
        <v>14</v>
      </c>
      <c r="AM68" s="1">
        <f t="shared" si="25"/>
        <v>1</v>
      </c>
      <c r="AN68" s="1">
        <f t="shared" si="36"/>
        <v>5</v>
      </c>
    </row>
    <row r="69" spans="1:40" hidden="1" x14ac:dyDescent="0.3">
      <c r="A69" s="1">
        <v>25133</v>
      </c>
      <c r="B69" s="1" t="s">
        <v>17</v>
      </c>
      <c r="C69" s="3" t="s">
        <v>75</v>
      </c>
      <c r="D69" s="4">
        <v>3000</v>
      </c>
      <c r="E69" s="2" t="s">
        <v>136</v>
      </c>
      <c r="F69" s="2">
        <v>46065</v>
      </c>
      <c r="G69" s="2">
        <v>46065</v>
      </c>
      <c r="H69" s="2">
        <v>46069</v>
      </c>
      <c r="P69" s="2">
        <v>46094</v>
      </c>
      <c r="Q69" s="2">
        <v>46094</v>
      </c>
      <c r="R69" s="2">
        <v>46115</v>
      </c>
      <c r="S69" s="1">
        <v>4</v>
      </c>
      <c r="W69" s="1">
        <f t="shared" si="20"/>
        <v>36</v>
      </c>
      <c r="X69" s="1">
        <f t="shared" si="21"/>
        <v>21</v>
      </c>
      <c r="Y69" s="1">
        <f t="shared" si="22"/>
        <v>0</v>
      </c>
      <c r="Z69" s="1" t="str">
        <f t="shared" si="26"/>
        <v>PAS DE DEPART MATIERE</v>
      </c>
      <c r="AA69" s="1">
        <f t="shared" si="23"/>
        <v>0</v>
      </c>
      <c r="AB69" s="1">
        <f t="shared" si="27"/>
        <v>2</v>
      </c>
      <c r="AC69" s="1" t="str">
        <f t="shared" si="28"/>
        <v>PAS DE COMMANDE MATIERE</v>
      </c>
      <c r="AD69" s="1" t="str">
        <f t="shared" si="24"/>
        <v>PAS DE DEPART TIRAGES OU ACHATS</v>
      </c>
      <c r="AE69" s="1" t="str">
        <f t="shared" si="29"/>
        <v>PAS DE DATE IMPRESSION</v>
      </c>
      <c r="AF69" s="1" t="str">
        <f t="shared" si="30"/>
        <v>PAS DE DATE PAPIER</v>
      </c>
      <c r="AG69" s="1" t="str">
        <f t="shared" si="31"/>
        <v>PAS DE DATE CARTON</v>
      </c>
      <c r="AH69" s="1" t="str">
        <f t="shared" si="32"/>
        <v>PAS DE DATE FICHIER</v>
      </c>
      <c r="AI69" s="1" t="str">
        <f t="shared" si="33"/>
        <v>PAS DE DATE VALIDATION MODELE CLIENT</v>
      </c>
      <c r="AJ69" s="1" t="str">
        <f t="shared" si="34"/>
        <v>PAS DE DATE IMPRESSION</v>
      </c>
      <c r="AK69" s="1" t="str">
        <f t="shared" si="19"/>
        <v>PAS D'IMPRESSION</v>
      </c>
      <c r="AL69" s="1" t="str">
        <f t="shared" si="35"/>
        <v>PAS D'EXPEDITION DE MATIERE, D'IMPRESSION, OU D'ACHAT</v>
      </c>
      <c r="AM69" s="1" t="str">
        <f t="shared" si="25"/>
        <v>PAS D'EXPEDITION DE MATIERE, D'IMPRESSION, OU D'ACHAT</v>
      </c>
      <c r="AN69" s="1" t="str">
        <f t="shared" si="36"/>
        <v>PAS D'IMPRESSION</v>
      </c>
    </row>
    <row r="70" spans="1:40" hidden="1" x14ac:dyDescent="0.3">
      <c r="A70" s="1">
        <v>25135</v>
      </c>
      <c r="B70" s="1" t="s">
        <v>76</v>
      </c>
      <c r="C70" s="3" t="s">
        <v>177</v>
      </c>
      <c r="D70" s="4">
        <v>20000</v>
      </c>
      <c r="E70" s="2" t="s">
        <v>137</v>
      </c>
      <c r="F70" s="2">
        <v>45838</v>
      </c>
      <c r="H70" s="2">
        <v>45933</v>
      </c>
      <c r="I70" s="2">
        <v>45897</v>
      </c>
      <c r="J70" s="2">
        <v>45908</v>
      </c>
      <c r="L70" s="2">
        <v>45911</v>
      </c>
      <c r="N70" s="2">
        <v>45933</v>
      </c>
      <c r="O70" s="2">
        <v>45918</v>
      </c>
      <c r="P70" s="2">
        <v>45954</v>
      </c>
      <c r="Q70" s="2">
        <v>45954</v>
      </c>
      <c r="R70" s="2">
        <v>45968</v>
      </c>
      <c r="S70" s="1">
        <v>2</v>
      </c>
      <c r="W70" s="1">
        <f t="shared" si="20"/>
        <v>94</v>
      </c>
      <c r="X70" s="1">
        <f t="shared" si="21"/>
        <v>84</v>
      </c>
      <c r="Y70" s="1">
        <f t="shared" si="22"/>
        <v>0</v>
      </c>
      <c r="Z70" s="1">
        <f t="shared" si="26"/>
        <v>69</v>
      </c>
      <c r="AA70" s="1" t="str">
        <f t="shared" si="23"/>
        <v>PAS DE COMMANDE MATIERE</v>
      </c>
      <c r="AB70" s="1">
        <f t="shared" si="27"/>
        <v>32809</v>
      </c>
      <c r="AC70" s="1">
        <f t="shared" si="28"/>
        <v>0</v>
      </c>
      <c r="AD70" s="1">
        <f t="shared" si="24"/>
        <v>58</v>
      </c>
      <c r="AE70" s="1">
        <f t="shared" si="29"/>
        <v>53</v>
      </c>
      <c r="AF70" s="1" t="str">
        <f t="shared" si="30"/>
        <v>PAS DE DATE PAPIER</v>
      </c>
      <c r="AG70" s="1" t="str">
        <f t="shared" si="31"/>
        <v>PAS DE DATE CARTON</v>
      </c>
      <c r="AH70" s="1">
        <f t="shared" si="32"/>
        <v>43</v>
      </c>
      <c r="AI70" s="1">
        <f t="shared" si="33"/>
        <v>50</v>
      </c>
      <c r="AJ70" s="1">
        <f t="shared" si="34"/>
        <v>3</v>
      </c>
      <c r="AK70" s="1">
        <f t="shared" si="19"/>
        <v>5</v>
      </c>
      <c r="AL70" s="1">
        <f t="shared" si="35"/>
        <v>11</v>
      </c>
      <c r="AM70" s="1">
        <f t="shared" si="25"/>
        <v>15</v>
      </c>
      <c r="AN70" s="1">
        <f t="shared" si="36"/>
        <v>10</v>
      </c>
    </row>
    <row r="71" spans="1:40" hidden="1" x14ac:dyDescent="0.3">
      <c r="A71" s="1">
        <v>25135</v>
      </c>
      <c r="B71" s="1" t="s">
        <v>76</v>
      </c>
      <c r="C71" s="3" t="s">
        <v>178</v>
      </c>
      <c r="D71" s="4">
        <v>2500</v>
      </c>
      <c r="E71" s="2" t="s">
        <v>137</v>
      </c>
      <c r="F71" s="2">
        <v>45838</v>
      </c>
      <c r="H71" s="2">
        <v>45933</v>
      </c>
      <c r="I71" s="2">
        <v>45897</v>
      </c>
      <c r="J71" s="2">
        <v>45908</v>
      </c>
      <c r="L71" s="2">
        <v>45911</v>
      </c>
      <c r="N71" s="2">
        <v>45933</v>
      </c>
      <c r="O71" s="2">
        <v>45918</v>
      </c>
      <c r="P71" s="2">
        <v>45954</v>
      </c>
      <c r="Q71" s="2">
        <v>45954</v>
      </c>
      <c r="R71" s="2">
        <v>45968</v>
      </c>
      <c r="S71" s="1">
        <v>2</v>
      </c>
      <c r="W71" s="1">
        <f t="shared" si="20"/>
        <v>94</v>
      </c>
      <c r="X71" s="1">
        <f t="shared" si="21"/>
        <v>84</v>
      </c>
      <c r="Y71" s="1">
        <f t="shared" si="22"/>
        <v>0</v>
      </c>
      <c r="Z71" s="1">
        <f t="shared" si="26"/>
        <v>69</v>
      </c>
      <c r="AA71" s="1" t="str">
        <f t="shared" si="23"/>
        <v>PAS DE COMMANDE MATIERE</v>
      </c>
      <c r="AB71" s="1">
        <f t="shared" si="27"/>
        <v>32809</v>
      </c>
      <c r="AC71" s="1">
        <f t="shared" si="28"/>
        <v>0</v>
      </c>
      <c r="AD71" s="1">
        <f t="shared" si="24"/>
        <v>58</v>
      </c>
      <c r="AE71" s="1">
        <f t="shared" si="29"/>
        <v>53</v>
      </c>
      <c r="AF71" s="1" t="str">
        <f t="shared" si="30"/>
        <v>PAS DE DATE PAPIER</v>
      </c>
      <c r="AG71" s="1" t="str">
        <f t="shared" si="31"/>
        <v>PAS DE DATE CARTON</v>
      </c>
      <c r="AH71" s="1">
        <f t="shared" si="32"/>
        <v>43</v>
      </c>
      <c r="AI71" s="1">
        <f t="shared" si="33"/>
        <v>50</v>
      </c>
      <c r="AJ71" s="1">
        <f t="shared" si="34"/>
        <v>3</v>
      </c>
      <c r="AK71" s="1">
        <f t="shared" si="19"/>
        <v>5</v>
      </c>
      <c r="AL71" s="1">
        <f t="shared" si="35"/>
        <v>11</v>
      </c>
      <c r="AM71" s="1">
        <f t="shared" si="25"/>
        <v>15</v>
      </c>
      <c r="AN71" s="1">
        <f t="shared" si="36"/>
        <v>10</v>
      </c>
    </row>
    <row r="72" spans="1:40" hidden="1" x14ac:dyDescent="0.3">
      <c r="A72" s="1">
        <v>25136</v>
      </c>
      <c r="B72" s="1" t="s">
        <v>77</v>
      </c>
      <c r="C72" s="3" t="s">
        <v>78</v>
      </c>
      <c r="D72" s="4">
        <v>2000</v>
      </c>
      <c r="E72" s="2" t="s">
        <v>179</v>
      </c>
      <c r="F72" s="2">
        <v>45839</v>
      </c>
      <c r="I72" s="2">
        <v>45849</v>
      </c>
      <c r="J72" s="2" t="s">
        <v>369</v>
      </c>
      <c r="L72" s="2">
        <v>45862</v>
      </c>
      <c r="M72" s="2">
        <v>45875</v>
      </c>
      <c r="O72" s="2">
        <v>45936</v>
      </c>
      <c r="P72" s="2">
        <v>45912</v>
      </c>
      <c r="Q72" s="2">
        <v>45912</v>
      </c>
      <c r="R72" s="2">
        <v>45933</v>
      </c>
      <c r="S72" s="1">
        <v>3</v>
      </c>
      <c r="W72" s="1">
        <f t="shared" si="20"/>
        <v>68</v>
      </c>
      <c r="X72" s="1">
        <f t="shared" si="21"/>
        <v>53</v>
      </c>
      <c r="Y72" s="1">
        <f t="shared" si="22"/>
        <v>0</v>
      </c>
      <c r="Z72" s="1" t="str">
        <f t="shared" si="26"/>
        <v>PAS DE DEPART MATIERE</v>
      </c>
      <c r="AA72" s="1" t="str">
        <f t="shared" si="23"/>
        <v>PAS DE COMMANDE MATIERE</v>
      </c>
      <c r="AB72" s="1" t="str">
        <f t="shared" si="27"/>
        <v>PAS DE COMMANDE MATIERE</v>
      </c>
      <c r="AC72" s="1" t="str">
        <f t="shared" si="28"/>
        <v>PAS DE COMMANDE MATIERE</v>
      </c>
      <c r="AD72" s="1">
        <f t="shared" si="24"/>
        <v>69</v>
      </c>
      <c r="AE72" s="1">
        <f t="shared" si="29"/>
        <v>17</v>
      </c>
      <c r="AF72" s="1" t="str">
        <f t="shared" si="30"/>
        <v>PAS DE DATE PAPIER</v>
      </c>
      <c r="AG72" s="1">
        <f t="shared" si="31"/>
        <v>26</v>
      </c>
      <c r="AH72" s="1">
        <f t="shared" si="32"/>
        <v>8</v>
      </c>
      <c r="AI72" s="1" t="str">
        <f t="shared" si="33"/>
        <v>DEVIS</v>
      </c>
      <c r="AJ72" s="1">
        <f t="shared" si="34"/>
        <v>9</v>
      </c>
      <c r="AK72" s="1">
        <f t="shared" si="19"/>
        <v>52</v>
      </c>
      <c r="AL72" s="1">
        <f t="shared" si="35"/>
        <v>0</v>
      </c>
      <c r="AM72" s="1">
        <f t="shared" si="25"/>
        <v>-18</v>
      </c>
      <c r="AN72" s="1" t="str">
        <f t="shared" si="36"/>
        <v>PAS D'IMPRESSION</v>
      </c>
    </row>
    <row r="73" spans="1:40" hidden="1" x14ac:dyDescent="0.3">
      <c r="A73" s="1">
        <v>25137</v>
      </c>
      <c r="B73" s="1" t="s">
        <v>17</v>
      </c>
      <c r="C73" s="3" t="s">
        <v>79</v>
      </c>
      <c r="D73" s="4">
        <v>2000</v>
      </c>
      <c r="E73" s="2" t="s">
        <v>133</v>
      </c>
      <c r="F73" s="2">
        <v>45841</v>
      </c>
      <c r="H73" s="2">
        <v>45873</v>
      </c>
      <c r="I73" s="2">
        <v>45873</v>
      </c>
      <c r="J73" s="2" t="s">
        <v>315</v>
      </c>
      <c r="K73" s="2">
        <v>45875</v>
      </c>
      <c r="L73" s="2">
        <v>45909</v>
      </c>
      <c r="M73" s="2">
        <v>45875</v>
      </c>
      <c r="N73" s="2">
        <v>45919</v>
      </c>
      <c r="O73" s="2">
        <v>45925</v>
      </c>
      <c r="P73" s="2">
        <v>45954</v>
      </c>
      <c r="Q73" s="2">
        <v>45954</v>
      </c>
      <c r="R73" s="2">
        <v>45961</v>
      </c>
      <c r="S73" s="1">
        <v>2</v>
      </c>
      <c r="W73" s="1">
        <f t="shared" si="20"/>
        <v>86</v>
      </c>
      <c r="X73" s="1">
        <f t="shared" si="21"/>
        <v>81</v>
      </c>
      <c r="Y73" s="1">
        <f t="shared" si="22"/>
        <v>0</v>
      </c>
      <c r="Z73" s="1">
        <f t="shared" si="26"/>
        <v>56</v>
      </c>
      <c r="AA73" s="1" t="str">
        <f t="shared" si="23"/>
        <v>PAS DE COMMANDE MATIERE</v>
      </c>
      <c r="AB73" s="1">
        <f t="shared" si="27"/>
        <v>32765</v>
      </c>
      <c r="AC73" s="1">
        <f t="shared" si="28"/>
        <v>34</v>
      </c>
      <c r="AD73" s="1">
        <f t="shared" si="24"/>
        <v>60</v>
      </c>
      <c r="AE73" s="1">
        <f t="shared" si="29"/>
        <v>48</v>
      </c>
      <c r="AF73" s="1">
        <f t="shared" si="30"/>
        <v>24</v>
      </c>
      <c r="AG73" s="1">
        <f t="shared" si="31"/>
        <v>24</v>
      </c>
      <c r="AH73" s="1">
        <f t="shared" si="32"/>
        <v>22</v>
      </c>
      <c r="AI73" s="1" t="str">
        <f t="shared" si="33"/>
        <v>ANC FAB</v>
      </c>
      <c r="AJ73" s="1">
        <f t="shared" si="34"/>
        <v>26</v>
      </c>
      <c r="AK73" s="1">
        <f t="shared" si="19"/>
        <v>12</v>
      </c>
      <c r="AL73" s="1">
        <f t="shared" si="35"/>
        <v>4</v>
      </c>
      <c r="AM73" s="1">
        <f t="shared" si="25"/>
        <v>21</v>
      </c>
      <c r="AN73" s="1">
        <f t="shared" si="36"/>
        <v>5</v>
      </c>
    </row>
    <row r="74" spans="1:40" hidden="1" x14ac:dyDescent="0.3">
      <c r="A74" s="1">
        <v>25138</v>
      </c>
      <c r="B74" s="1" t="s">
        <v>80</v>
      </c>
      <c r="C74" s="3" t="s">
        <v>180</v>
      </c>
      <c r="D74" s="4">
        <v>7000</v>
      </c>
      <c r="E74" s="2" t="s">
        <v>153</v>
      </c>
      <c r="F74" s="2">
        <v>45845</v>
      </c>
      <c r="H74" s="2">
        <v>45875</v>
      </c>
      <c r="I74" s="2">
        <v>45863</v>
      </c>
      <c r="J74" s="2">
        <v>45870</v>
      </c>
      <c r="K74" s="2">
        <v>45861</v>
      </c>
      <c r="L74" s="2">
        <v>45874</v>
      </c>
      <c r="N74" s="2">
        <v>45876</v>
      </c>
      <c r="O74" s="2">
        <v>45905</v>
      </c>
      <c r="P74" s="2">
        <v>45912</v>
      </c>
      <c r="Q74" s="2">
        <v>45912</v>
      </c>
      <c r="R74" s="2">
        <v>45940</v>
      </c>
      <c r="S74" s="1">
        <v>3</v>
      </c>
      <c r="W74" s="1">
        <f t="shared" si="20"/>
        <v>69</v>
      </c>
      <c r="X74" s="1">
        <f t="shared" si="21"/>
        <v>49</v>
      </c>
      <c r="Y74" s="1">
        <f t="shared" si="22"/>
        <v>0</v>
      </c>
      <c r="Z74" s="1">
        <f t="shared" si="26"/>
        <v>23</v>
      </c>
      <c r="AA74" s="1" t="str">
        <f t="shared" si="23"/>
        <v>PAS DE COMMANDE MATIERE</v>
      </c>
      <c r="AB74" s="1">
        <f t="shared" si="27"/>
        <v>32767</v>
      </c>
      <c r="AC74" s="1">
        <f t="shared" si="28"/>
        <v>1</v>
      </c>
      <c r="AD74" s="1">
        <f t="shared" si="24"/>
        <v>44</v>
      </c>
      <c r="AE74" s="1">
        <f t="shared" si="29"/>
        <v>21</v>
      </c>
      <c r="AF74" s="1">
        <f t="shared" si="30"/>
        <v>12</v>
      </c>
      <c r="AG74" s="1" t="str">
        <f t="shared" si="31"/>
        <v>PAS DE DATE CARTON</v>
      </c>
      <c r="AH74" s="1">
        <f t="shared" si="32"/>
        <v>14</v>
      </c>
      <c r="AI74" s="1">
        <f t="shared" si="33"/>
        <v>19</v>
      </c>
      <c r="AJ74" s="1">
        <f t="shared" si="34"/>
        <v>2</v>
      </c>
      <c r="AK74" s="1">
        <f t="shared" si="19"/>
        <v>23</v>
      </c>
      <c r="AL74" s="1">
        <f t="shared" si="35"/>
        <v>21</v>
      </c>
      <c r="AM74" s="1">
        <f t="shared" si="25"/>
        <v>5</v>
      </c>
      <c r="AN74" s="1">
        <f t="shared" si="36"/>
        <v>20</v>
      </c>
    </row>
    <row r="75" spans="1:40" hidden="1" x14ac:dyDescent="0.3">
      <c r="A75" s="1">
        <v>25138</v>
      </c>
      <c r="B75" s="1" t="s">
        <v>80</v>
      </c>
      <c r="C75" s="3" t="s">
        <v>181</v>
      </c>
      <c r="D75" s="4">
        <v>7000</v>
      </c>
      <c r="E75" s="2" t="s">
        <v>153</v>
      </c>
      <c r="F75" s="2">
        <v>45845</v>
      </c>
      <c r="H75" s="2">
        <v>45870</v>
      </c>
      <c r="I75" s="2">
        <v>45860</v>
      </c>
      <c r="J75" s="2">
        <v>45870</v>
      </c>
      <c r="K75" s="2">
        <v>45861</v>
      </c>
      <c r="L75" s="2">
        <v>45874</v>
      </c>
      <c r="N75" s="2">
        <v>45876</v>
      </c>
      <c r="O75" s="2">
        <v>45905</v>
      </c>
      <c r="P75" s="2">
        <v>45912</v>
      </c>
      <c r="Q75" s="2">
        <v>45912</v>
      </c>
      <c r="R75" s="2">
        <v>45940</v>
      </c>
      <c r="S75" s="1">
        <v>3</v>
      </c>
      <c r="W75" s="1">
        <f t="shared" si="20"/>
        <v>69</v>
      </c>
      <c r="X75" s="1">
        <f t="shared" si="21"/>
        <v>49</v>
      </c>
      <c r="Y75" s="1">
        <f t="shared" si="22"/>
        <v>0</v>
      </c>
      <c r="Z75" s="1">
        <f t="shared" si="26"/>
        <v>23</v>
      </c>
      <c r="AA75" s="1" t="str">
        <f t="shared" si="23"/>
        <v>PAS DE COMMANDE MATIERE</v>
      </c>
      <c r="AB75" s="1">
        <f t="shared" si="27"/>
        <v>32764</v>
      </c>
      <c r="AC75" s="1">
        <f t="shared" si="28"/>
        <v>4</v>
      </c>
      <c r="AD75" s="1">
        <f t="shared" si="24"/>
        <v>44</v>
      </c>
      <c r="AE75" s="1">
        <f t="shared" si="29"/>
        <v>21</v>
      </c>
      <c r="AF75" s="1">
        <f t="shared" si="30"/>
        <v>12</v>
      </c>
      <c r="AG75" s="1" t="str">
        <f t="shared" si="31"/>
        <v>PAS DE DATE CARTON</v>
      </c>
      <c r="AH75" s="1">
        <f t="shared" si="32"/>
        <v>11</v>
      </c>
      <c r="AI75" s="1">
        <f t="shared" si="33"/>
        <v>19</v>
      </c>
      <c r="AJ75" s="1">
        <f t="shared" si="34"/>
        <v>2</v>
      </c>
      <c r="AK75" s="1">
        <f t="shared" si="19"/>
        <v>23</v>
      </c>
      <c r="AL75" s="1">
        <f t="shared" si="35"/>
        <v>21</v>
      </c>
      <c r="AM75" s="1">
        <f t="shared" si="25"/>
        <v>5</v>
      </c>
      <c r="AN75" s="1">
        <f t="shared" si="36"/>
        <v>20</v>
      </c>
    </row>
    <row r="76" spans="1:40" hidden="1" x14ac:dyDescent="0.3">
      <c r="A76" s="1">
        <v>25140</v>
      </c>
      <c r="B76" s="1" t="s">
        <v>81</v>
      </c>
      <c r="C76" s="3" t="s">
        <v>82</v>
      </c>
      <c r="D76" s="4">
        <v>38000</v>
      </c>
      <c r="E76" s="2" t="s">
        <v>182</v>
      </c>
      <c r="F76" s="2">
        <v>45848</v>
      </c>
      <c r="H76" s="2">
        <v>45856</v>
      </c>
      <c r="I76" s="2" t="s">
        <v>374</v>
      </c>
      <c r="N76" s="2">
        <v>45889</v>
      </c>
      <c r="O76" s="2">
        <v>45876</v>
      </c>
      <c r="P76" s="2">
        <v>45926</v>
      </c>
      <c r="Q76" s="2">
        <v>45926</v>
      </c>
      <c r="R76" s="2">
        <v>45926</v>
      </c>
      <c r="S76" s="1">
        <v>1</v>
      </c>
      <c r="W76" s="1">
        <f t="shared" si="20"/>
        <v>56</v>
      </c>
      <c r="X76" s="1">
        <f t="shared" si="21"/>
        <v>56</v>
      </c>
      <c r="Y76" s="1">
        <f t="shared" si="22"/>
        <v>0</v>
      </c>
      <c r="Z76" s="1">
        <f t="shared" si="26"/>
        <v>29</v>
      </c>
      <c r="AA76" s="1" t="str">
        <f t="shared" si="23"/>
        <v>PAS DE COMMANDE MATIERE</v>
      </c>
      <c r="AB76" s="1">
        <f t="shared" si="27"/>
        <v>32754</v>
      </c>
      <c r="AC76" s="1">
        <f t="shared" si="28"/>
        <v>23</v>
      </c>
      <c r="AD76" s="1">
        <f t="shared" si="24"/>
        <v>20</v>
      </c>
      <c r="AE76" s="1" t="str">
        <f t="shared" si="29"/>
        <v>PAS DE DATE IMPRESSION</v>
      </c>
      <c r="AF76" s="1" t="str">
        <f t="shared" si="30"/>
        <v>PAS DE DATE PAPIER</v>
      </c>
      <c r="AG76" s="1" t="str">
        <f t="shared" si="31"/>
        <v>PAS DE DATE CARTON</v>
      </c>
      <c r="AH76" s="1" t="str">
        <f t="shared" si="32"/>
        <v>CREA ISABELLE</v>
      </c>
      <c r="AI76" s="1" t="str">
        <f t="shared" si="33"/>
        <v>PAS DE DATE VALIDATION MODELE CLIENT</v>
      </c>
      <c r="AJ76" s="1" t="str">
        <f t="shared" si="34"/>
        <v>PAS DE DATE IMPRESSION</v>
      </c>
      <c r="AK76" s="1" t="str">
        <f t="shared" si="19"/>
        <v>PAS D'IMPRESSION</v>
      </c>
      <c r="AL76" s="1">
        <f t="shared" si="35"/>
        <v>9</v>
      </c>
      <c r="AM76" s="1">
        <f t="shared" si="25"/>
        <v>27</v>
      </c>
      <c r="AN76" s="1">
        <f t="shared" si="36"/>
        <v>0</v>
      </c>
    </row>
    <row r="77" spans="1:40" hidden="1" x14ac:dyDescent="0.3">
      <c r="A77" s="1">
        <v>25142</v>
      </c>
      <c r="B77" s="1" t="s">
        <v>83</v>
      </c>
      <c r="C77" s="3" t="s">
        <v>84</v>
      </c>
      <c r="D77" s="4">
        <v>2500</v>
      </c>
      <c r="E77" s="2" t="s">
        <v>133</v>
      </c>
      <c r="F77" s="2">
        <v>45854</v>
      </c>
      <c r="G77" s="2">
        <v>46128</v>
      </c>
      <c r="H77" s="2">
        <v>45904</v>
      </c>
      <c r="I77" s="2">
        <v>45974</v>
      </c>
      <c r="J77" s="2">
        <v>45898</v>
      </c>
      <c r="L77" s="2">
        <v>46000</v>
      </c>
      <c r="M77" s="2">
        <v>45875</v>
      </c>
      <c r="N77" s="2">
        <v>45982</v>
      </c>
      <c r="O77" s="2">
        <v>46003</v>
      </c>
      <c r="P77" s="2">
        <v>45961</v>
      </c>
      <c r="Q77" s="2">
        <v>45968</v>
      </c>
      <c r="R77" s="2">
        <v>46017</v>
      </c>
      <c r="S77" s="1">
        <v>3</v>
      </c>
      <c r="W77" s="1">
        <f t="shared" si="20"/>
        <v>117</v>
      </c>
      <c r="X77" s="1">
        <f t="shared" si="21"/>
        <v>82</v>
      </c>
      <c r="Y77" s="1">
        <f t="shared" si="22"/>
        <v>5</v>
      </c>
      <c r="Z77" s="1">
        <f t="shared" si="26"/>
        <v>92</v>
      </c>
      <c r="AA77" s="1">
        <f t="shared" si="23"/>
        <v>196</v>
      </c>
      <c r="AB77" s="1">
        <f t="shared" si="27"/>
        <v>-162</v>
      </c>
      <c r="AC77" s="1">
        <f t="shared" si="28"/>
        <v>56</v>
      </c>
      <c r="AD77" s="1">
        <f t="shared" si="24"/>
        <v>107</v>
      </c>
      <c r="AE77" s="1">
        <f t="shared" si="29"/>
        <v>104</v>
      </c>
      <c r="AF77" s="1" t="str">
        <f t="shared" si="30"/>
        <v>PAS DE DATE PAPIER</v>
      </c>
      <c r="AG77" s="1">
        <f t="shared" si="31"/>
        <v>15</v>
      </c>
      <c r="AH77" s="1">
        <f t="shared" si="32"/>
        <v>86</v>
      </c>
      <c r="AI77" s="1">
        <f t="shared" si="33"/>
        <v>32</v>
      </c>
      <c r="AJ77" s="1">
        <f t="shared" si="34"/>
        <v>18</v>
      </c>
      <c r="AK77" s="1">
        <f t="shared" si="19"/>
        <v>3</v>
      </c>
      <c r="AL77" s="1">
        <f t="shared" si="35"/>
        <v>15</v>
      </c>
      <c r="AM77" s="1">
        <f t="shared" si="25"/>
        <v>-27</v>
      </c>
      <c r="AN77" s="1">
        <f t="shared" si="36"/>
        <v>35</v>
      </c>
    </row>
    <row r="78" spans="1:40" hidden="1" x14ac:dyDescent="0.3">
      <c r="A78" s="1">
        <v>25143</v>
      </c>
      <c r="B78" s="1" t="s">
        <v>17</v>
      </c>
      <c r="C78" s="3" t="s">
        <v>183</v>
      </c>
      <c r="D78" s="4">
        <v>5000</v>
      </c>
      <c r="E78" s="2" t="s">
        <v>140</v>
      </c>
      <c r="F78" s="2">
        <v>45854</v>
      </c>
      <c r="G78" s="2">
        <v>45859</v>
      </c>
      <c r="H78" s="2">
        <v>45940</v>
      </c>
      <c r="I78" s="2">
        <v>45895</v>
      </c>
      <c r="J78" s="2" t="s">
        <v>315</v>
      </c>
      <c r="K78" s="2">
        <v>45897</v>
      </c>
      <c r="L78" s="2">
        <v>45910</v>
      </c>
      <c r="M78" s="2">
        <v>45905</v>
      </c>
      <c r="N78" s="2">
        <v>45939</v>
      </c>
      <c r="O78" s="2">
        <v>45953</v>
      </c>
      <c r="P78" s="2">
        <v>45947</v>
      </c>
      <c r="Q78" s="2">
        <v>45947</v>
      </c>
      <c r="R78" s="2">
        <v>45982</v>
      </c>
      <c r="S78" s="1">
        <v>5</v>
      </c>
      <c r="W78" s="1">
        <f t="shared" si="20"/>
        <v>92</v>
      </c>
      <c r="X78" s="1">
        <f t="shared" si="21"/>
        <v>67</v>
      </c>
      <c r="Y78" s="1">
        <f t="shared" si="22"/>
        <v>0</v>
      </c>
      <c r="Z78" s="1">
        <f t="shared" si="26"/>
        <v>61</v>
      </c>
      <c r="AA78" s="1">
        <f t="shared" si="23"/>
        <v>3</v>
      </c>
      <c r="AB78" s="1">
        <f t="shared" si="27"/>
        <v>59</v>
      </c>
      <c r="AC78" s="1">
        <f t="shared" si="28"/>
        <v>-3</v>
      </c>
      <c r="AD78" s="1">
        <f t="shared" si="24"/>
        <v>71</v>
      </c>
      <c r="AE78" s="1">
        <f t="shared" si="29"/>
        <v>40</v>
      </c>
      <c r="AF78" s="1">
        <f t="shared" si="30"/>
        <v>31</v>
      </c>
      <c r="AG78" s="1">
        <f t="shared" si="31"/>
        <v>37</v>
      </c>
      <c r="AH78" s="1">
        <f t="shared" si="32"/>
        <v>29</v>
      </c>
      <c r="AI78" s="1" t="str">
        <f t="shared" si="33"/>
        <v>ANC FAB</v>
      </c>
      <c r="AJ78" s="1">
        <f t="shared" si="34"/>
        <v>11</v>
      </c>
      <c r="AK78" s="1">
        <f t="shared" si="19"/>
        <v>31</v>
      </c>
      <c r="AL78" s="1">
        <f t="shared" si="35"/>
        <v>10</v>
      </c>
      <c r="AM78" s="1">
        <f t="shared" si="25"/>
        <v>-6</v>
      </c>
      <c r="AN78" s="1">
        <f t="shared" si="36"/>
        <v>25</v>
      </c>
    </row>
    <row r="79" spans="1:40" hidden="1" x14ac:dyDescent="0.3">
      <c r="A79" s="1">
        <v>25143</v>
      </c>
      <c r="B79" s="1" t="s">
        <v>17</v>
      </c>
      <c r="C79" s="3" t="s">
        <v>184</v>
      </c>
      <c r="D79" s="4">
        <v>2000</v>
      </c>
      <c r="E79" s="2" t="s">
        <v>140</v>
      </c>
      <c r="F79" s="2">
        <v>45854</v>
      </c>
      <c r="W79" s="1" t="str">
        <f t="shared" si="20"/>
        <v>NON LIVRE</v>
      </c>
      <c r="X79" s="1" t="str">
        <f t="shared" si="21"/>
        <v>NON LIVRE</v>
      </c>
      <c r="Y79" s="1" t="str">
        <f t="shared" si="22"/>
        <v>NON LIVRE</v>
      </c>
      <c r="Z79" s="1" t="str">
        <f t="shared" si="26"/>
        <v>NON LIVRE</v>
      </c>
      <c r="AA79" s="1" t="str">
        <f t="shared" si="23"/>
        <v>NON LIVRE</v>
      </c>
      <c r="AB79" s="1" t="str">
        <f t="shared" si="27"/>
        <v>NON LIVRE</v>
      </c>
      <c r="AC79" s="1" t="str">
        <f t="shared" si="28"/>
        <v>NON LIVRE</v>
      </c>
      <c r="AD79" s="1" t="str">
        <f t="shared" si="24"/>
        <v>NON LIVRE</v>
      </c>
      <c r="AE79" s="1" t="str">
        <f t="shared" si="29"/>
        <v>NON LIVRE</v>
      </c>
      <c r="AF79" s="1" t="str">
        <f t="shared" si="30"/>
        <v>NON LIVRE</v>
      </c>
      <c r="AG79" s="1" t="str">
        <f t="shared" si="31"/>
        <v>NON LIVRE</v>
      </c>
      <c r="AH79" s="1" t="str">
        <f t="shared" si="32"/>
        <v>NON LIVRE</v>
      </c>
      <c r="AI79" s="1" t="str">
        <f t="shared" si="33"/>
        <v>NON LIVRE</v>
      </c>
      <c r="AJ79" s="1" t="str">
        <f t="shared" si="34"/>
        <v>NON LIVRE</v>
      </c>
      <c r="AK79" s="1" t="str">
        <f t="shared" si="19"/>
        <v>NON LIVRE</v>
      </c>
      <c r="AL79" s="1" t="str">
        <f t="shared" si="35"/>
        <v>NON LIVRE</v>
      </c>
      <c r="AM79" s="1" t="str">
        <f t="shared" si="25"/>
        <v>NON LIVRE</v>
      </c>
      <c r="AN79" s="1" t="str">
        <f t="shared" si="36"/>
        <v>NON LIVRE</v>
      </c>
    </row>
    <row r="80" spans="1:40" hidden="1" x14ac:dyDescent="0.3">
      <c r="A80" s="1">
        <v>25144</v>
      </c>
      <c r="B80" s="1" t="s">
        <v>85</v>
      </c>
      <c r="C80" s="3" t="s">
        <v>86</v>
      </c>
      <c r="D80" s="4">
        <v>500</v>
      </c>
      <c r="E80" s="2" t="s">
        <v>165</v>
      </c>
      <c r="F80" s="2">
        <v>45860</v>
      </c>
      <c r="G80" s="2">
        <v>45861</v>
      </c>
      <c r="H80" s="2">
        <v>45889</v>
      </c>
      <c r="I80" s="2">
        <v>45862</v>
      </c>
      <c r="J80" s="2">
        <v>45863</v>
      </c>
      <c r="L80" s="2">
        <v>45901</v>
      </c>
      <c r="N80" s="2">
        <v>45912</v>
      </c>
      <c r="O80" s="2">
        <v>45911</v>
      </c>
      <c r="P80" s="2">
        <v>45933</v>
      </c>
      <c r="Q80" s="2">
        <v>45933</v>
      </c>
      <c r="R80" s="2">
        <v>45933</v>
      </c>
      <c r="S80" s="1">
        <v>1</v>
      </c>
      <c r="W80" s="1">
        <f t="shared" si="20"/>
        <v>53</v>
      </c>
      <c r="X80" s="1">
        <f t="shared" si="21"/>
        <v>53</v>
      </c>
      <c r="Y80" s="1">
        <f t="shared" si="22"/>
        <v>0</v>
      </c>
      <c r="Z80" s="1">
        <f t="shared" si="26"/>
        <v>38</v>
      </c>
      <c r="AA80" s="1">
        <f t="shared" si="23"/>
        <v>1</v>
      </c>
      <c r="AB80" s="1">
        <f t="shared" si="27"/>
        <v>20</v>
      </c>
      <c r="AC80" s="1">
        <f t="shared" si="28"/>
        <v>17</v>
      </c>
      <c r="AD80" s="1">
        <f t="shared" si="24"/>
        <v>37</v>
      </c>
      <c r="AE80" s="1">
        <f t="shared" si="29"/>
        <v>29</v>
      </c>
      <c r="AF80" s="1" t="str">
        <f t="shared" si="30"/>
        <v>PAS DE DATE PAPIER</v>
      </c>
      <c r="AG80" s="1" t="str">
        <f t="shared" si="31"/>
        <v>PAS DE DATE CARTON</v>
      </c>
      <c r="AH80" s="1">
        <f t="shared" si="32"/>
        <v>2</v>
      </c>
      <c r="AI80" s="1">
        <f t="shared" si="33"/>
        <v>3</v>
      </c>
      <c r="AJ80" s="1">
        <f t="shared" si="34"/>
        <v>26</v>
      </c>
      <c r="AK80" s="1">
        <f t="shared" si="19"/>
        <v>8</v>
      </c>
      <c r="AL80" s="1">
        <f t="shared" si="35"/>
        <v>1</v>
      </c>
      <c r="AM80" s="1">
        <f t="shared" si="25"/>
        <v>15</v>
      </c>
      <c r="AN80" s="1">
        <f t="shared" si="36"/>
        <v>0</v>
      </c>
    </row>
    <row r="81" spans="1:40" hidden="1" x14ac:dyDescent="0.3">
      <c r="A81" s="1">
        <v>25145</v>
      </c>
      <c r="B81" s="1" t="s">
        <v>87</v>
      </c>
      <c r="C81" s="3" t="s">
        <v>88</v>
      </c>
      <c r="D81" s="4">
        <v>100</v>
      </c>
      <c r="E81" s="2" t="s">
        <v>185</v>
      </c>
      <c r="F81" s="2">
        <v>45860</v>
      </c>
      <c r="G81" s="2">
        <v>46226</v>
      </c>
      <c r="H81" s="2">
        <v>46049</v>
      </c>
      <c r="I81" s="2">
        <v>46031</v>
      </c>
      <c r="J81" s="2">
        <v>46028</v>
      </c>
      <c r="L81" s="2">
        <v>46035</v>
      </c>
      <c r="M81" s="2" t="s">
        <v>199</v>
      </c>
      <c r="N81" s="2">
        <v>46051</v>
      </c>
      <c r="O81" s="2">
        <v>46087</v>
      </c>
      <c r="P81" s="2">
        <v>46101</v>
      </c>
      <c r="Q81" s="2">
        <v>46101</v>
      </c>
      <c r="R81" s="2">
        <v>46101</v>
      </c>
      <c r="S81" s="1">
        <v>1</v>
      </c>
      <c r="W81" s="1">
        <f t="shared" si="20"/>
        <v>173</v>
      </c>
      <c r="X81" s="1">
        <f t="shared" si="21"/>
        <v>173</v>
      </c>
      <c r="Y81" s="1">
        <f t="shared" si="22"/>
        <v>0</v>
      </c>
      <c r="Z81" s="1">
        <f t="shared" si="26"/>
        <v>137</v>
      </c>
      <c r="AA81" s="1">
        <f t="shared" si="23"/>
        <v>262</v>
      </c>
      <c r="AB81" s="1">
        <f t="shared" si="27"/>
        <v>-129</v>
      </c>
      <c r="AC81" s="1">
        <f t="shared" si="28"/>
        <v>2</v>
      </c>
      <c r="AD81" s="1">
        <f t="shared" si="24"/>
        <v>163</v>
      </c>
      <c r="AE81" s="1">
        <f t="shared" si="29"/>
        <v>125</v>
      </c>
      <c r="AF81" s="1" t="str">
        <f t="shared" si="30"/>
        <v>PAS DE DATE PAPIER</v>
      </c>
      <c r="AG81" s="1" t="str">
        <f t="shared" si="31"/>
        <v>STOCK</v>
      </c>
      <c r="AH81" s="1">
        <f t="shared" si="32"/>
        <v>123</v>
      </c>
      <c r="AI81" s="1">
        <f t="shared" si="33"/>
        <v>120</v>
      </c>
      <c r="AJ81" s="1">
        <f t="shared" si="34"/>
        <v>2</v>
      </c>
      <c r="AK81" s="1">
        <f t="shared" si="19"/>
        <v>38</v>
      </c>
      <c r="AL81" s="1">
        <f t="shared" si="35"/>
        <v>26</v>
      </c>
      <c r="AM81" s="1">
        <f t="shared" si="25"/>
        <v>10</v>
      </c>
      <c r="AN81" s="1">
        <f t="shared" si="36"/>
        <v>0</v>
      </c>
    </row>
    <row r="82" spans="1:40" hidden="1" x14ac:dyDescent="0.3">
      <c r="A82" s="1">
        <v>25145</v>
      </c>
      <c r="B82" s="1" t="s">
        <v>87</v>
      </c>
      <c r="C82" s="3" t="s">
        <v>88</v>
      </c>
      <c r="D82" s="4">
        <v>100</v>
      </c>
      <c r="E82" s="2" t="s">
        <v>185</v>
      </c>
      <c r="F82" s="2">
        <v>45860</v>
      </c>
      <c r="G82" s="2">
        <v>46226</v>
      </c>
      <c r="H82" s="2">
        <v>46030</v>
      </c>
      <c r="I82" s="2">
        <v>46031</v>
      </c>
      <c r="J82" s="2">
        <v>46028</v>
      </c>
      <c r="L82" s="2">
        <v>46035</v>
      </c>
      <c r="M82" s="2" t="s">
        <v>199</v>
      </c>
      <c r="N82" s="2">
        <v>46045</v>
      </c>
      <c r="O82" s="2">
        <v>46087</v>
      </c>
      <c r="P82" s="2">
        <v>46101</v>
      </c>
      <c r="Q82" s="2">
        <v>46101</v>
      </c>
      <c r="R82" s="2">
        <v>46101</v>
      </c>
      <c r="S82" s="1">
        <v>1</v>
      </c>
      <c r="W82" s="1">
        <f t="shared" si="20"/>
        <v>173</v>
      </c>
      <c r="X82" s="1">
        <f t="shared" si="21"/>
        <v>173</v>
      </c>
      <c r="Y82" s="1">
        <f t="shared" si="22"/>
        <v>0</v>
      </c>
      <c r="Z82" s="1">
        <f t="shared" si="26"/>
        <v>133</v>
      </c>
      <c r="AA82" s="1">
        <f t="shared" si="23"/>
        <v>262</v>
      </c>
      <c r="AB82" s="1">
        <f t="shared" si="27"/>
        <v>-142</v>
      </c>
      <c r="AC82" s="1">
        <f t="shared" si="28"/>
        <v>11</v>
      </c>
      <c r="AD82" s="1">
        <f t="shared" si="24"/>
        <v>163</v>
      </c>
      <c r="AE82" s="1">
        <f t="shared" si="29"/>
        <v>125</v>
      </c>
      <c r="AF82" s="1" t="str">
        <f t="shared" si="30"/>
        <v>PAS DE DATE PAPIER</v>
      </c>
      <c r="AG82" s="1" t="str">
        <f t="shared" si="31"/>
        <v>STOCK</v>
      </c>
      <c r="AH82" s="1">
        <f t="shared" si="32"/>
        <v>123</v>
      </c>
      <c r="AI82" s="1">
        <f t="shared" si="33"/>
        <v>120</v>
      </c>
      <c r="AJ82" s="1">
        <f t="shared" si="34"/>
        <v>2</v>
      </c>
      <c r="AK82" s="1">
        <f t="shared" si="19"/>
        <v>38</v>
      </c>
      <c r="AL82" s="1">
        <f t="shared" si="35"/>
        <v>30</v>
      </c>
      <c r="AM82" s="1">
        <f t="shared" si="25"/>
        <v>10</v>
      </c>
      <c r="AN82" s="1">
        <f t="shared" si="36"/>
        <v>0</v>
      </c>
    </row>
    <row r="83" spans="1:40" hidden="1" x14ac:dyDescent="0.3">
      <c r="A83" s="1">
        <v>25146</v>
      </c>
      <c r="B83" s="1" t="s">
        <v>9</v>
      </c>
      <c r="C83" s="3" t="s">
        <v>89</v>
      </c>
      <c r="D83" s="4">
        <v>1000</v>
      </c>
      <c r="E83" s="2" t="s">
        <v>133</v>
      </c>
      <c r="F83" s="2">
        <v>45860</v>
      </c>
      <c r="G83" s="2">
        <v>45861</v>
      </c>
      <c r="H83" s="2">
        <v>45909</v>
      </c>
      <c r="I83" s="2">
        <v>45861</v>
      </c>
      <c r="J83" s="2" t="s">
        <v>371</v>
      </c>
      <c r="K83" s="2">
        <v>45896</v>
      </c>
      <c r="L83" s="2">
        <v>45897</v>
      </c>
      <c r="N83" s="2">
        <v>45916</v>
      </c>
      <c r="O83" s="2">
        <v>45912</v>
      </c>
      <c r="P83" s="2">
        <v>45940</v>
      </c>
      <c r="Q83" s="2">
        <v>45940</v>
      </c>
      <c r="R83" s="2">
        <v>45940</v>
      </c>
      <c r="S83" s="1">
        <v>1</v>
      </c>
      <c r="W83" s="1">
        <f t="shared" si="20"/>
        <v>58</v>
      </c>
      <c r="X83" s="1">
        <f t="shared" si="21"/>
        <v>58</v>
      </c>
      <c r="Y83" s="1">
        <f t="shared" si="22"/>
        <v>0</v>
      </c>
      <c r="Z83" s="1">
        <f t="shared" si="26"/>
        <v>40</v>
      </c>
      <c r="AA83" s="1">
        <f t="shared" si="23"/>
        <v>1</v>
      </c>
      <c r="AB83" s="1">
        <f t="shared" si="27"/>
        <v>34</v>
      </c>
      <c r="AC83" s="1">
        <f t="shared" si="28"/>
        <v>5</v>
      </c>
      <c r="AD83" s="1">
        <f t="shared" si="24"/>
        <v>38</v>
      </c>
      <c r="AE83" s="1">
        <f t="shared" si="29"/>
        <v>27</v>
      </c>
      <c r="AF83" s="1">
        <f t="shared" si="30"/>
        <v>26</v>
      </c>
      <c r="AG83" s="1" t="str">
        <f t="shared" si="31"/>
        <v>PAS DE DATE CARTON</v>
      </c>
      <c r="AH83" s="1">
        <f t="shared" si="32"/>
        <v>1</v>
      </c>
      <c r="AI83" s="1" t="str">
        <f t="shared" si="33"/>
        <v>REMIS</v>
      </c>
      <c r="AJ83" s="1">
        <f t="shared" si="34"/>
        <v>26</v>
      </c>
      <c r="AK83" s="1">
        <f t="shared" si="19"/>
        <v>11</v>
      </c>
      <c r="AL83" s="1">
        <f t="shared" si="35"/>
        <v>2</v>
      </c>
      <c r="AM83" s="1">
        <f t="shared" si="25"/>
        <v>18</v>
      </c>
      <c r="AN83" s="1">
        <f t="shared" si="36"/>
        <v>0</v>
      </c>
    </row>
    <row r="84" spans="1:40" hidden="1" x14ac:dyDescent="0.3">
      <c r="A84" s="1">
        <v>25147</v>
      </c>
      <c r="B84" s="1" t="s">
        <v>60</v>
      </c>
      <c r="C84" s="3" t="s">
        <v>186</v>
      </c>
      <c r="D84" s="4">
        <v>1000</v>
      </c>
      <c r="E84" s="2" t="s">
        <v>191</v>
      </c>
      <c r="F84" s="2">
        <v>45860</v>
      </c>
      <c r="G84" s="2">
        <v>45861</v>
      </c>
      <c r="H84" s="2">
        <v>45912</v>
      </c>
      <c r="I84" s="2">
        <v>45861</v>
      </c>
      <c r="J84" s="2" t="s">
        <v>315</v>
      </c>
      <c r="L84" s="2">
        <v>45910</v>
      </c>
      <c r="M84" s="2">
        <v>45875</v>
      </c>
      <c r="N84" s="2">
        <v>45947</v>
      </c>
      <c r="O84" s="2">
        <v>45933</v>
      </c>
      <c r="P84" s="2">
        <v>45961</v>
      </c>
      <c r="Q84" s="2">
        <v>45961</v>
      </c>
      <c r="R84" s="2">
        <v>45961</v>
      </c>
      <c r="S84" s="1">
        <v>1</v>
      </c>
      <c r="W84" s="1">
        <f t="shared" si="20"/>
        <v>73</v>
      </c>
      <c r="X84" s="1">
        <f t="shared" si="21"/>
        <v>73</v>
      </c>
      <c r="Y84" s="1">
        <f t="shared" si="22"/>
        <v>0</v>
      </c>
      <c r="Z84" s="1">
        <f t="shared" si="26"/>
        <v>63</v>
      </c>
      <c r="AA84" s="1">
        <f t="shared" si="23"/>
        <v>1</v>
      </c>
      <c r="AB84" s="1">
        <f t="shared" si="27"/>
        <v>37</v>
      </c>
      <c r="AC84" s="1">
        <f t="shared" si="28"/>
        <v>25</v>
      </c>
      <c r="AD84" s="1">
        <f t="shared" si="24"/>
        <v>53</v>
      </c>
      <c r="AE84" s="1">
        <f t="shared" si="29"/>
        <v>36</v>
      </c>
      <c r="AF84" s="1" t="str">
        <f t="shared" si="30"/>
        <v>PAS DE DATE PAPIER</v>
      </c>
      <c r="AG84" s="1">
        <f t="shared" si="31"/>
        <v>11</v>
      </c>
      <c r="AH84" s="1">
        <f t="shared" si="32"/>
        <v>1</v>
      </c>
      <c r="AI84" s="1" t="str">
        <f t="shared" si="33"/>
        <v>ANC FAB</v>
      </c>
      <c r="AJ84" s="1">
        <f t="shared" si="34"/>
        <v>35</v>
      </c>
      <c r="AK84" s="1">
        <f t="shared" si="19"/>
        <v>17</v>
      </c>
      <c r="AL84" s="1">
        <f t="shared" si="35"/>
        <v>10</v>
      </c>
      <c r="AM84" s="1">
        <f t="shared" si="25"/>
        <v>10</v>
      </c>
      <c r="AN84" s="1">
        <f t="shared" si="36"/>
        <v>0</v>
      </c>
    </row>
    <row r="85" spans="1:40" hidden="1" x14ac:dyDescent="0.3">
      <c r="A85" s="1">
        <v>25147</v>
      </c>
      <c r="B85" s="1" t="s">
        <v>60</v>
      </c>
      <c r="C85" s="3" t="s">
        <v>187</v>
      </c>
      <c r="D85" s="4">
        <v>1000</v>
      </c>
      <c r="E85" s="2" t="s">
        <v>149</v>
      </c>
      <c r="F85" s="2">
        <v>45860</v>
      </c>
      <c r="G85" s="2">
        <v>45861</v>
      </c>
      <c r="H85" s="2">
        <v>45912</v>
      </c>
      <c r="I85" s="2">
        <v>45861</v>
      </c>
      <c r="J85" s="2">
        <v>45918</v>
      </c>
      <c r="L85" s="2">
        <v>45910</v>
      </c>
      <c r="M85" s="2">
        <v>45875</v>
      </c>
      <c r="N85" s="2">
        <v>45933</v>
      </c>
      <c r="O85" s="2">
        <v>45933</v>
      </c>
      <c r="P85" s="2">
        <v>45961</v>
      </c>
      <c r="Q85" s="2">
        <v>45961</v>
      </c>
      <c r="R85" s="2">
        <v>45961</v>
      </c>
      <c r="S85" s="1">
        <v>1</v>
      </c>
      <c r="W85" s="1">
        <f t="shared" si="20"/>
        <v>73</v>
      </c>
      <c r="X85" s="1">
        <f t="shared" si="21"/>
        <v>73</v>
      </c>
      <c r="Y85" s="1">
        <f t="shared" si="22"/>
        <v>0</v>
      </c>
      <c r="Z85" s="1">
        <f t="shared" si="26"/>
        <v>53</v>
      </c>
      <c r="AA85" s="1">
        <f t="shared" si="23"/>
        <v>1</v>
      </c>
      <c r="AB85" s="1">
        <f t="shared" si="27"/>
        <v>37</v>
      </c>
      <c r="AC85" s="1">
        <f t="shared" si="28"/>
        <v>15</v>
      </c>
      <c r="AD85" s="1">
        <f t="shared" si="24"/>
        <v>53</v>
      </c>
      <c r="AE85" s="1">
        <f t="shared" si="29"/>
        <v>36</v>
      </c>
      <c r="AF85" s="1" t="str">
        <f t="shared" si="30"/>
        <v>PAS DE DATE PAPIER</v>
      </c>
      <c r="AG85" s="1">
        <f t="shared" si="31"/>
        <v>11</v>
      </c>
      <c r="AH85" s="1">
        <f t="shared" si="32"/>
        <v>1</v>
      </c>
      <c r="AI85" s="1">
        <f t="shared" si="33"/>
        <v>42</v>
      </c>
      <c r="AJ85" s="1">
        <f t="shared" si="34"/>
        <v>-8</v>
      </c>
      <c r="AK85" s="1">
        <f t="shared" si="19"/>
        <v>17</v>
      </c>
      <c r="AL85" s="1">
        <f t="shared" si="35"/>
        <v>0</v>
      </c>
      <c r="AM85" s="1">
        <f t="shared" si="25"/>
        <v>20</v>
      </c>
      <c r="AN85" s="1">
        <f t="shared" si="36"/>
        <v>0</v>
      </c>
    </row>
    <row r="86" spans="1:40" hidden="1" x14ac:dyDescent="0.3">
      <c r="A86" s="1">
        <v>25147</v>
      </c>
      <c r="B86" s="1" t="s">
        <v>60</v>
      </c>
      <c r="C86" s="3" t="s">
        <v>188</v>
      </c>
      <c r="D86" s="4">
        <v>1000</v>
      </c>
      <c r="E86" s="2" t="s">
        <v>149</v>
      </c>
      <c r="F86" s="2">
        <v>45860</v>
      </c>
      <c r="G86" s="2">
        <v>45861</v>
      </c>
      <c r="H86" s="2">
        <v>45912</v>
      </c>
      <c r="I86" s="2">
        <v>45861</v>
      </c>
      <c r="J86" s="2">
        <v>45918</v>
      </c>
      <c r="L86" s="2">
        <v>45910</v>
      </c>
      <c r="M86" s="2">
        <v>45875</v>
      </c>
      <c r="N86" s="2">
        <v>45933</v>
      </c>
      <c r="O86" s="2">
        <v>45933</v>
      </c>
      <c r="P86" s="2">
        <v>45954</v>
      </c>
      <c r="Q86" s="2">
        <v>45954</v>
      </c>
      <c r="R86" s="2">
        <v>45954</v>
      </c>
      <c r="S86" s="1">
        <v>1</v>
      </c>
      <c r="W86" s="1">
        <f t="shared" si="20"/>
        <v>68</v>
      </c>
      <c r="X86" s="1">
        <f t="shared" si="21"/>
        <v>68</v>
      </c>
      <c r="Y86" s="1">
        <f t="shared" si="22"/>
        <v>0</v>
      </c>
      <c r="Z86" s="1">
        <f t="shared" si="26"/>
        <v>53</v>
      </c>
      <c r="AA86" s="1">
        <f t="shared" si="23"/>
        <v>1</v>
      </c>
      <c r="AB86" s="1">
        <f t="shared" si="27"/>
        <v>37</v>
      </c>
      <c r="AC86" s="1">
        <f t="shared" si="28"/>
        <v>15</v>
      </c>
      <c r="AD86" s="1">
        <f t="shared" si="24"/>
        <v>53</v>
      </c>
      <c r="AE86" s="1">
        <f t="shared" si="29"/>
        <v>36</v>
      </c>
      <c r="AF86" s="1" t="str">
        <f t="shared" si="30"/>
        <v>PAS DE DATE PAPIER</v>
      </c>
      <c r="AG86" s="1">
        <f t="shared" si="31"/>
        <v>11</v>
      </c>
      <c r="AH86" s="1">
        <f t="shared" si="32"/>
        <v>1</v>
      </c>
      <c r="AI86" s="1">
        <f t="shared" si="33"/>
        <v>42</v>
      </c>
      <c r="AJ86" s="1">
        <f t="shared" si="34"/>
        <v>-8</v>
      </c>
      <c r="AK86" s="1">
        <f t="shared" si="19"/>
        <v>17</v>
      </c>
      <c r="AL86" s="1">
        <f t="shared" si="35"/>
        <v>0</v>
      </c>
      <c r="AM86" s="1">
        <f t="shared" si="25"/>
        <v>15</v>
      </c>
      <c r="AN86" s="1">
        <f t="shared" si="36"/>
        <v>0</v>
      </c>
    </row>
    <row r="87" spans="1:40" hidden="1" x14ac:dyDescent="0.3">
      <c r="A87" s="1">
        <v>25147</v>
      </c>
      <c r="B87" s="1" t="s">
        <v>60</v>
      </c>
      <c r="C87" s="3" t="s">
        <v>189</v>
      </c>
      <c r="D87" s="4">
        <v>1000</v>
      </c>
      <c r="E87" s="2" t="s">
        <v>149</v>
      </c>
      <c r="F87" s="2">
        <v>45860</v>
      </c>
      <c r="G87" s="2">
        <v>45861</v>
      </c>
      <c r="H87" s="2">
        <v>45912</v>
      </c>
      <c r="I87" s="2">
        <v>45861</v>
      </c>
      <c r="J87" s="2">
        <v>45918</v>
      </c>
      <c r="L87" s="2">
        <v>45910</v>
      </c>
      <c r="M87" s="2">
        <v>45875</v>
      </c>
      <c r="N87" s="2">
        <v>45933</v>
      </c>
      <c r="O87" s="2">
        <v>45933</v>
      </c>
      <c r="P87" s="2">
        <v>45961</v>
      </c>
      <c r="Q87" s="2">
        <v>45961</v>
      </c>
      <c r="R87" s="2">
        <v>45961</v>
      </c>
      <c r="S87" s="1">
        <v>1</v>
      </c>
      <c r="W87" s="1">
        <f t="shared" si="20"/>
        <v>73</v>
      </c>
      <c r="X87" s="1">
        <f t="shared" si="21"/>
        <v>73</v>
      </c>
      <c r="Y87" s="1">
        <f t="shared" si="22"/>
        <v>0</v>
      </c>
      <c r="Z87" s="1">
        <f t="shared" si="26"/>
        <v>53</v>
      </c>
      <c r="AA87" s="1">
        <f t="shared" si="23"/>
        <v>1</v>
      </c>
      <c r="AB87" s="1">
        <f t="shared" si="27"/>
        <v>37</v>
      </c>
      <c r="AC87" s="1">
        <f t="shared" si="28"/>
        <v>15</v>
      </c>
      <c r="AD87" s="1">
        <f t="shared" si="24"/>
        <v>53</v>
      </c>
      <c r="AE87" s="1">
        <f t="shared" si="29"/>
        <v>36</v>
      </c>
      <c r="AF87" s="1" t="str">
        <f t="shared" si="30"/>
        <v>PAS DE DATE PAPIER</v>
      </c>
      <c r="AG87" s="1">
        <f t="shared" si="31"/>
        <v>11</v>
      </c>
      <c r="AH87" s="1">
        <f t="shared" si="32"/>
        <v>1</v>
      </c>
      <c r="AI87" s="1">
        <f t="shared" si="33"/>
        <v>42</v>
      </c>
      <c r="AJ87" s="1">
        <f t="shared" si="34"/>
        <v>-8</v>
      </c>
      <c r="AK87" s="1">
        <f t="shared" si="19"/>
        <v>17</v>
      </c>
      <c r="AL87" s="1">
        <f t="shared" si="35"/>
        <v>0</v>
      </c>
      <c r="AM87" s="1">
        <f t="shared" si="25"/>
        <v>20</v>
      </c>
      <c r="AN87" s="1">
        <f t="shared" si="36"/>
        <v>0</v>
      </c>
    </row>
    <row r="88" spans="1:40" hidden="1" x14ac:dyDescent="0.3">
      <c r="A88" s="1">
        <v>25149</v>
      </c>
      <c r="B88" s="1" t="s">
        <v>17</v>
      </c>
      <c r="C88" s="3" t="s">
        <v>90</v>
      </c>
      <c r="D88" s="4">
        <v>900</v>
      </c>
      <c r="E88" s="2" t="s">
        <v>192</v>
      </c>
      <c r="F88" s="2">
        <v>45866</v>
      </c>
      <c r="W88" s="1" t="str">
        <f t="shared" si="20"/>
        <v>NON LIVRE</v>
      </c>
      <c r="X88" s="1" t="str">
        <f t="shared" si="21"/>
        <v>NON LIVRE</v>
      </c>
      <c r="Y88" s="1" t="str">
        <f t="shared" si="22"/>
        <v>NON LIVRE</v>
      </c>
      <c r="Z88" s="1" t="str">
        <f t="shared" si="26"/>
        <v>NON LIVRE</v>
      </c>
      <c r="AA88" s="1" t="str">
        <f t="shared" si="23"/>
        <v>NON LIVRE</v>
      </c>
      <c r="AB88" s="1" t="str">
        <f t="shared" si="27"/>
        <v>NON LIVRE</v>
      </c>
      <c r="AC88" s="1" t="str">
        <f t="shared" si="28"/>
        <v>NON LIVRE</v>
      </c>
      <c r="AD88" s="1" t="str">
        <f t="shared" si="24"/>
        <v>NON LIVRE</v>
      </c>
      <c r="AE88" s="1" t="str">
        <f t="shared" si="29"/>
        <v>NON LIVRE</v>
      </c>
      <c r="AF88" s="1" t="str">
        <f t="shared" si="30"/>
        <v>NON LIVRE</v>
      </c>
      <c r="AG88" s="1" t="str">
        <f t="shared" si="31"/>
        <v>NON LIVRE</v>
      </c>
      <c r="AH88" s="1" t="str">
        <f t="shared" si="32"/>
        <v>NON LIVRE</v>
      </c>
      <c r="AI88" s="1" t="str">
        <f t="shared" si="33"/>
        <v>NON LIVRE</v>
      </c>
      <c r="AJ88" s="1" t="str">
        <f t="shared" si="34"/>
        <v>NON LIVRE</v>
      </c>
      <c r="AK88" s="1" t="str">
        <f t="shared" si="19"/>
        <v>NON LIVRE</v>
      </c>
      <c r="AL88" s="1" t="str">
        <f t="shared" si="35"/>
        <v>NON LIVRE</v>
      </c>
      <c r="AM88" s="1" t="str">
        <f t="shared" si="25"/>
        <v>NON LIVRE</v>
      </c>
      <c r="AN88" s="1" t="str">
        <f t="shared" si="36"/>
        <v>NON LIVRE</v>
      </c>
    </row>
    <row r="89" spans="1:40" hidden="1" x14ac:dyDescent="0.3">
      <c r="A89" s="1">
        <v>25149</v>
      </c>
      <c r="B89" s="1" t="s">
        <v>17</v>
      </c>
      <c r="C89" s="3" t="s">
        <v>90</v>
      </c>
      <c r="D89" s="4">
        <f>8*900</f>
        <v>7200</v>
      </c>
      <c r="E89" s="2" t="s">
        <v>190</v>
      </c>
      <c r="F89" s="2">
        <v>45866</v>
      </c>
      <c r="W89" s="1" t="str">
        <f t="shared" si="20"/>
        <v>NON LIVRE</v>
      </c>
      <c r="X89" s="1" t="str">
        <f t="shared" si="21"/>
        <v>NON LIVRE</v>
      </c>
      <c r="Y89" s="1" t="str">
        <f t="shared" si="22"/>
        <v>NON LIVRE</v>
      </c>
      <c r="Z89" s="1" t="str">
        <f t="shared" si="26"/>
        <v>NON LIVRE</v>
      </c>
      <c r="AA89" s="1" t="str">
        <f t="shared" si="23"/>
        <v>NON LIVRE</v>
      </c>
      <c r="AB89" s="1" t="str">
        <f t="shared" si="27"/>
        <v>NON LIVRE</v>
      </c>
      <c r="AC89" s="1" t="str">
        <f t="shared" si="28"/>
        <v>NON LIVRE</v>
      </c>
      <c r="AD89" s="1" t="str">
        <f t="shared" si="24"/>
        <v>NON LIVRE</v>
      </c>
      <c r="AE89" s="1" t="str">
        <f t="shared" si="29"/>
        <v>NON LIVRE</v>
      </c>
      <c r="AF89" s="1" t="str">
        <f t="shared" si="30"/>
        <v>NON LIVRE</v>
      </c>
      <c r="AG89" s="1" t="str">
        <f t="shared" si="31"/>
        <v>NON LIVRE</v>
      </c>
      <c r="AH89" s="1" t="str">
        <f t="shared" si="32"/>
        <v>NON LIVRE</v>
      </c>
      <c r="AI89" s="1" t="str">
        <f t="shared" si="33"/>
        <v>NON LIVRE</v>
      </c>
      <c r="AJ89" s="1" t="str">
        <f t="shared" si="34"/>
        <v>NON LIVRE</v>
      </c>
      <c r="AK89" s="1" t="str">
        <f t="shared" si="19"/>
        <v>NON LIVRE</v>
      </c>
      <c r="AL89" s="1" t="str">
        <f t="shared" si="35"/>
        <v>NON LIVRE</v>
      </c>
      <c r="AM89" s="1" t="str">
        <f t="shared" si="25"/>
        <v>NON LIVRE</v>
      </c>
      <c r="AN89" s="1" t="str">
        <f t="shared" si="36"/>
        <v>NON LIVRE</v>
      </c>
    </row>
    <row r="90" spans="1:40" hidden="1" x14ac:dyDescent="0.3">
      <c r="A90" s="1">
        <v>25150</v>
      </c>
      <c r="B90" s="1" t="s">
        <v>91</v>
      </c>
      <c r="C90" s="3" t="s">
        <v>92</v>
      </c>
      <c r="D90" s="4">
        <v>1020</v>
      </c>
      <c r="E90" s="2" t="s">
        <v>136</v>
      </c>
      <c r="F90" s="2">
        <v>45867</v>
      </c>
      <c r="G90" s="2">
        <v>45868</v>
      </c>
      <c r="H90" s="2">
        <v>45898</v>
      </c>
      <c r="I90" s="2">
        <v>45870</v>
      </c>
      <c r="J90" s="2" t="s">
        <v>315</v>
      </c>
      <c r="L90" s="2">
        <v>45903</v>
      </c>
      <c r="M90" s="2">
        <v>45908</v>
      </c>
      <c r="N90" s="2">
        <v>45912</v>
      </c>
      <c r="O90" s="2">
        <v>45916</v>
      </c>
      <c r="P90" s="2">
        <v>45940</v>
      </c>
      <c r="Q90" s="2">
        <v>45940</v>
      </c>
      <c r="R90" s="2">
        <v>45940</v>
      </c>
      <c r="S90" s="1">
        <v>1</v>
      </c>
      <c r="W90" s="1">
        <f t="shared" si="20"/>
        <v>53</v>
      </c>
      <c r="X90" s="1">
        <f t="shared" si="21"/>
        <v>53</v>
      </c>
      <c r="Y90" s="1">
        <f t="shared" si="22"/>
        <v>0</v>
      </c>
      <c r="Z90" s="1">
        <f t="shared" si="26"/>
        <v>33</v>
      </c>
      <c r="AA90" s="1">
        <f t="shared" si="23"/>
        <v>1</v>
      </c>
      <c r="AB90" s="1">
        <f t="shared" si="27"/>
        <v>22</v>
      </c>
      <c r="AC90" s="1">
        <f t="shared" si="28"/>
        <v>10</v>
      </c>
      <c r="AD90" s="1">
        <f t="shared" si="24"/>
        <v>35</v>
      </c>
      <c r="AE90" s="1">
        <f t="shared" si="29"/>
        <v>26</v>
      </c>
      <c r="AF90" s="1" t="str">
        <f t="shared" si="30"/>
        <v>PAS DE DATE PAPIER</v>
      </c>
      <c r="AG90" s="1">
        <f t="shared" si="31"/>
        <v>29</v>
      </c>
      <c r="AH90" s="1">
        <f t="shared" si="32"/>
        <v>3</v>
      </c>
      <c r="AI90" s="1" t="str">
        <f t="shared" si="33"/>
        <v>ANC FAB</v>
      </c>
      <c r="AJ90" s="1">
        <f t="shared" si="34"/>
        <v>23</v>
      </c>
      <c r="AK90" s="1">
        <f t="shared" si="19"/>
        <v>9</v>
      </c>
      <c r="AL90" s="1">
        <f t="shared" si="35"/>
        <v>2</v>
      </c>
      <c r="AM90" s="1">
        <f t="shared" si="25"/>
        <v>18</v>
      </c>
      <c r="AN90" s="1">
        <f t="shared" si="36"/>
        <v>0</v>
      </c>
    </row>
    <row r="91" spans="1:40" hidden="1" x14ac:dyDescent="0.3">
      <c r="A91" s="1">
        <v>25151</v>
      </c>
      <c r="B91" s="1" t="s">
        <v>93</v>
      </c>
      <c r="C91" s="3" t="s">
        <v>94</v>
      </c>
      <c r="D91" s="4">
        <v>1190</v>
      </c>
      <c r="E91" s="2" t="s">
        <v>156</v>
      </c>
      <c r="F91" s="2">
        <v>45867</v>
      </c>
      <c r="G91" s="2">
        <v>45875</v>
      </c>
      <c r="H91" s="2">
        <v>45922</v>
      </c>
      <c r="I91" s="2">
        <v>45943</v>
      </c>
      <c r="J91" s="2">
        <v>45945</v>
      </c>
      <c r="L91" s="2">
        <v>45954</v>
      </c>
      <c r="M91" s="2">
        <v>45933</v>
      </c>
      <c r="N91" s="2">
        <v>45939</v>
      </c>
      <c r="O91" s="2">
        <v>45968</v>
      </c>
      <c r="P91" s="2">
        <v>45996</v>
      </c>
      <c r="Q91" s="2">
        <v>45996</v>
      </c>
      <c r="R91" s="2">
        <v>45996</v>
      </c>
      <c r="S91" s="1">
        <v>1</v>
      </c>
      <c r="W91" s="1">
        <f t="shared" si="20"/>
        <v>93</v>
      </c>
      <c r="X91" s="1">
        <f t="shared" si="21"/>
        <v>93</v>
      </c>
      <c r="Y91" s="1">
        <f t="shared" si="22"/>
        <v>0</v>
      </c>
      <c r="Z91" s="1">
        <f t="shared" si="26"/>
        <v>52</v>
      </c>
      <c r="AA91" s="1">
        <f t="shared" si="23"/>
        <v>6</v>
      </c>
      <c r="AB91" s="1">
        <f t="shared" si="27"/>
        <v>33</v>
      </c>
      <c r="AC91" s="1">
        <f t="shared" si="28"/>
        <v>13</v>
      </c>
      <c r="AD91" s="1">
        <f t="shared" si="24"/>
        <v>73</v>
      </c>
      <c r="AE91" s="1">
        <f t="shared" si="29"/>
        <v>63</v>
      </c>
      <c r="AF91" s="1" t="str">
        <f t="shared" si="30"/>
        <v>PAS DE DATE PAPIER</v>
      </c>
      <c r="AG91" s="1">
        <f t="shared" si="31"/>
        <v>48</v>
      </c>
      <c r="AH91" s="1">
        <f t="shared" si="32"/>
        <v>54</v>
      </c>
      <c r="AI91" s="1">
        <f t="shared" si="33"/>
        <v>56</v>
      </c>
      <c r="AJ91" s="1">
        <f t="shared" si="34"/>
        <v>7</v>
      </c>
      <c r="AK91" s="1">
        <f t="shared" si="19"/>
        <v>10</v>
      </c>
      <c r="AL91" s="1">
        <f t="shared" si="35"/>
        <v>21</v>
      </c>
      <c r="AM91" s="1">
        <f t="shared" si="25"/>
        <v>20</v>
      </c>
      <c r="AN91" s="1">
        <f t="shared" si="36"/>
        <v>0</v>
      </c>
    </row>
    <row r="92" spans="1:40" hidden="1" x14ac:dyDescent="0.3">
      <c r="A92" s="1">
        <v>25152</v>
      </c>
      <c r="B92" s="1" t="s">
        <v>93</v>
      </c>
      <c r="C92" s="3" t="s">
        <v>95</v>
      </c>
      <c r="D92" s="4">
        <v>450</v>
      </c>
      <c r="E92" s="2" t="s">
        <v>156</v>
      </c>
      <c r="F92" s="2">
        <v>45867</v>
      </c>
      <c r="G92" s="2">
        <v>45875</v>
      </c>
      <c r="H92" s="2">
        <v>45922</v>
      </c>
      <c r="I92" s="2">
        <v>45938</v>
      </c>
      <c r="J92" s="2">
        <v>45959</v>
      </c>
      <c r="K92" s="2">
        <v>45938</v>
      </c>
      <c r="L92" s="2">
        <v>45954</v>
      </c>
      <c r="M92" s="2">
        <v>45908</v>
      </c>
      <c r="N92" s="2">
        <v>45933</v>
      </c>
      <c r="O92" s="2">
        <v>45961</v>
      </c>
      <c r="P92" s="2">
        <v>45989</v>
      </c>
      <c r="Q92" s="2">
        <v>45989</v>
      </c>
      <c r="R92" s="2">
        <v>45989</v>
      </c>
      <c r="S92" s="1">
        <v>1</v>
      </c>
      <c r="W92" s="1">
        <f t="shared" si="20"/>
        <v>88</v>
      </c>
      <c r="X92" s="1">
        <f t="shared" si="21"/>
        <v>88</v>
      </c>
      <c r="Y92" s="1">
        <f t="shared" si="22"/>
        <v>0</v>
      </c>
      <c r="Z92" s="1">
        <f t="shared" si="26"/>
        <v>48</v>
      </c>
      <c r="AA92" s="1">
        <f t="shared" si="23"/>
        <v>6</v>
      </c>
      <c r="AB92" s="1">
        <f t="shared" si="27"/>
        <v>33</v>
      </c>
      <c r="AC92" s="1">
        <f t="shared" si="28"/>
        <v>9</v>
      </c>
      <c r="AD92" s="1">
        <f t="shared" si="24"/>
        <v>68</v>
      </c>
      <c r="AE92" s="1">
        <f t="shared" si="29"/>
        <v>63</v>
      </c>
      <c r="AF92" s="1">
        <f t="shared" si="30"/>
        <v>51</v>
      </c>
      <c r="AG92" s="1">
        <f t="shared" si="31"/>
        <v>29</v>
      </c>
      <c r="AH92" s="1">
        <f t="shared" si="32"/>
        <v>51</v>
      </c>
      <c r="AI92" s="1">
        <f t="shared" si="33"/>
        <v>66</v>
      </c>
      <c r="AJ92" s="1">
        <f t="shared" si="34"/>
        <v>-5</v>
      </c>
      <c r="AK92" s="1">
        <f t="shared" si="19"/>
        <v>5</v>
      </c>
      <c r="AL92" s="1">
        <f t="shared" si="35"/>
        <v>20</v>
      </c>
      <c r="AM92" s="1">
        <f t="shared" si="25"/>
        <v>20</v>
      </c>
      <c r="AN92" s="1">
        <f t="shared" si="36"/>
        <v>0</v>
      </c>
    </row>
    <row r="93" spans="1:40" hidden="1" x14ac:dyDescent="0.3">
      <c r="A93" s="1">
        <v>25154</v>
      </c>
      <c r="B93" s="1" t="s">
        <v>41</v>
      </c>
      <c r="C93" s="3" t="s">
        <v>96</v>
      </c>
      <c r="D93" s="4">
        <v>250</v>
      </c>
      <c r="E93" s="2" t="s">
        <v>182</v>
      </c>
      <c r="F93" s="2">
        <v>45867</v>
      </c>
      <c r="H93" s="2">
        <v>45973</v>
      </c>
      <c r="N93" s="2">
        <v>45975</v>
      </c>
      <c r="P93" s="2">
        <v>45989</v>
      </c>
      <c r="Q93" s="2">
        <v>45989</v>
      </c>
      <c r="R93" s="2">
        <v>45989</v>
      </c>
      <c r="S93" s="1">
        <v>1</v>
      </c>
      <c r="W93" s="1">
        <f t="shared" si="20"/>
        <v>88</v>
      </c>
      <c r="X93" s="1">
        <f t="shared" si="21"/>
        <v>88</v>
      </c>
      <c r="Y93" s="1">
        <f t="shared" si="22"/>
        <v>0</v>
      </c>
      <c r="Z93" s="1">
        <f t="shared" si="26"/>
        <v>78</v>
      </c>
      <c r="AA93" s="1" t="str">
        <f t="shared" si="23"/>
        <v>PAS DE COMMANDE MATIERE</v>
      </c>
      <c r="AB93" s="1">
        <f t="shared" si="27"/>
        <v>32837</v>
      </c>
      <c r="AC93" s="1">
        <f t="shared" si="28"/>
        <v>2</v>
      </c>
      <c r="AD93" s="1" t="str">
        <f t="shared" si="24"/>
        <v>PAS DE DEPART TIRAGES OU ACHATS</v>
      </c>
      <c r="AE93" s="1" t="str">
        <f t="shared" si="29"/>
        <v>PAS DE DATE IMPRESSION</v>
      </c>
      <c r="AF93" s="1" t="str">
        <f t="shared" si="30"/>
        <v>PAS DE DATE PAPIER</v>
      </c>
      <c r="AG93" s="1" t="str">
        <f t="shared" si="31"/>
        <v>PAS DE DATE CARTON</v>
      </c>
      <c r="AH93" s="1" t="str">
        <f t="shared" si="32"/>
        <v>PAS DE DATE FICHIER</v>
      </c>
      <c r="AI93" s="1" t="str">
        <f t="shared" si="33"/>
        <v>PAS DE DATE VALIDATION MODELE CLIENT</v>
      </c>
      <c r="AJ93" s="1" t="str">
        <f t="shared" si="34"/>
        <v>PAS DE DATE IMPRESSION</v>
      </c>
      <c r="AK93" s="1" t="str">
        <f t="shared" si="19"/>
        <v>PAS D'IMPRESSION</v>
      </c>
      <c r="AL93" s="1">
        <f t="shared" si="35"/>
        <v>0</v>
      </c>
      <c r="AM93" s="1">
        <f t="shared" si="25"/>
        <v>10</v>
      </c>
      <c r="AN93" s="1" t="str">
        <f t="shared" si="36"/>
        <v>PAS DE DATE VALIDATION MODELE CLIENT</v>
      </c>
    </row>
    <row r="94" spans="1:40" hidden="1" x14ac:dyDescent="0.3">
      <c r="A94" s="1">
        <v>25155</v>
      </c>
      <c r="B94" s="1" t="s">
        <v>97</v>
      </c>
      <c r="C94" s="3" t="s">
        <v>98</v>
      </c>
      <c r="D94" s="4">
        <v>2500</v>
      </c>
      <c r="E94" s="2" t="s">
        <v>136</v>
      </c>
      <c r="F94" s="2">
        <v>45868</v>
      </c>
      <c r="G94" s="2">
        <v>45868</v>
      </c>
      <c r="H94" s="2">
        <v>45905</v>
      </c>
      <c r="I94" s="2">
        <v>45887</v>
      </c>
      <c r="J94" s="2">
        <v>45901</v>
      </c>
      <c r="L94" s="2">
        <v>45909</v>
      </c>
      <c r="M94" s="2">
        <v>45908</v>
      </c>
      <c r="N94" s="2">
        <v>45939</v>
      </c>
      <c r="O94" s="2">
        <v>45911</v>
      </c>
      <c r="P94" s="2">
        <v>45940</v>
      </c>
      <c r="Q94" s="2">
        <v>45940</v>
      </c>
      <c r="R94" s="2">
        <v>45954</v>
      </c>
      <c r="S94" s="1">
        <v>3</v>
      </c>
      <c r="W94" s="1">
        <f t="shared" si="20"/>
        <v>62</v>
      </c>
      <c r="X94" s="1">
        <f t="shared" si="21"/>
        <v>52</v>
      </c>
      <c r="Y94" s="1">
        <f t="shared" si="22"/>
        <v>0</v>
      </c>
      <c r="Z94" s="1">
        <f t="shared" si="26"/>
        <v>51</v>
      </c>
      <c r="AA94" s="1">
        <f t="shared" si="23"/>
        <v>0</v>
      </c>
      <c r="AB94" s="1">
        <f t="shared" si="27"/>
        <v>27</v>
      </c>
      <c r="AC94" s="1">
        <f t="shared" si="28"/>
        <v>24</v>
      </c>
      <c r="AD94" s="1">
        <f t="shared" si="24"/>
        <v>31</v>
      </c>
      <c r="AE94" s="1">
        <f t="shared" si="29"/>
        <v>29</v>
      </c>
      <c r="AF94" s="1" t="str">
        <f t="shared" si="30"/>
        <v>PAS DE DATE PAPIER</v>
      </c>
      <c r="AG94" s="1">
        <f t="shared" si="31"/>
        <v>28</v>
      </c>
      <c r="AH94" s="1">
        <f t="shared" si="32"/>
        <v>13</v>
      </c>
      <c r="AI94" s="1">
        <f t="shared" si="33"/>
        <v>23</v>
      </c>
      <c r="AJ94" s="1">
        <f t="shared" si="34"/>
        <v>6</v>
      </c>
      <c r="AK94" s="1">
        <f t="shared" si="19"/>
        <v>2</v>
      </c>
      <c r="AL94" s="1">
        <f t="shared" si="35"/>
        <v>20</v>
      </c>
      <c r="AM94" s="1">
        <f t="shared" si="25"/>
        <v>1</v>
      </c>
      <c r="AN94" s="1">
        <f t="shared" si="36"/>
        <v>10</v>
      </c>
    </row>
    <row r="95" spans="1:40" hidden="1" x14ac:dyDescent="0.3">
      <c r="A95" s="1">
        <v>25156</v>
      </c>
      <c r="B95" s="1" t="s">
        <v>34</v>
      </c>
      <c r="C95" s="3" t="s">
        <v>99</v>
      </c>
      <c r="D95" s="4">
        <v>500</v>
      </c>
      <c r="E95" s="2" t="s">
        <v>149</v>
      </c>
      <c r="F95" s="2">
        <v>45869</v>
      </c>
      <c r="G95" s="2">
        <v>45959</v>
      </c>
      <c r="H95" s="2">
        <v>45980</v>
      </c>
      <c r="I95" s="2">
        <v>46351</v>
      </c>
      <c r="J95" s="2">
        <v>45993</v>
      </c>
      <c r="L95" s="2">
        <v>46001</v>
      </c>
      <c r="M95" s="2">
        <v>45908</v>
      </c>
      <c r="N95" s="2">
        <v>46009</v>
      </c>
      <c r="O95" s="2">
        <v>46010</v>
      </c>
      <c r="P95" s="2">
        <v>46038</v>
      </c>
      <c r="Q95" s="2">
        <v>46038</v>
      </c>
      <c r="R95" s="2">
        <v>46038</v>
      </c>
      <c r="S95" s="1">
        <v>1</v>
      </c>
      <c r="W95" s="1">
        <f t="shared" si="20"/>
        <v>121</v>
      </c>
      <c r="X95" s="1">
        <f t="shared" si="21"/>
        <v>121</v>
      </c>
      <c r="Y95" s="1">
        <f t="shared" si="22"/>
        <v>0</v>
      </c>
      <c r="Z95" s="1">
        <f t="shared" si="26"/>
        <v>100</v>
      </c>
      <c r="AA95" s="1">
        <f t="shared" si="23"/>
        <v>64</v>
      </c>
      <c r="AB95" s="1">
        <f t="shared" si="27"/>
        <v>15</v>
      </c>
      <c r="AC95" s="1">
        <f t="shared" si="28"/>
        <v>21</v>
      </c>
      <c r="AD95" s="1">
        <f t="shared" si="24"/>
        <v>101</v>
      </c>
      <c r="AE95" s="1">
        <f t="shared" si="29"/>
        <v>94</v>
      </c>
      <c r="AF95" s="1" t="str">
        <f t="shared" si="30"/>
        <v>PAS DE DATE PAPIER</v>
      </c>
      <c r="AG95" s="1">
        <f t="shared" si="31"/>
        <v>27</v>
      </c>
      <c r="AH95" s="1">
        <f t="shared" si="32"/>
        <v>344</v>
      </c>
      <c r="AI95" s="1">
        <f t="shared" si="33"/>
        <v>88</v>
      </c>
      <c r="AJ95" s="1">
        <f t="shared" si="34"/>
        <v>-252</v>
      </c>
      <c r="AK95" s="1">
        <f t="shared" si="19"/>
        <v>7</v>
      </c>
      <c r="AL95" s="1">
        <f t="shared" si="35"/>
        <v>1</v>
      </c>
      <c r="AM95" s="1">
        <f t="shared" si="25"/>
        <v>20</v>
      </c>
      <c r="AN95" s="1">
        <f t="shared" si="36"/>
        <v>0</v>
      </c>
    </row>
    <row r="96" spans="1:40" hidden="1" x14ac:dyDescent="0.3">
      <c r="A96" s="1">
        <v>25157</v>
      </c>
      <c r="B96" s="1" t="s">
        <v>34</v>
      </c>
      <c r="C96" s="3" t="s">
        <v>100</v>
      </c>
      <c r="D96" s="4">
        <v>2000</v>
      </c>
      <c r="E96" s="2" t="s">
        <v>165</v>
      </c>
      <c r="F96" s="2">
        <v>45869</v>
      </c>
      <c r="G96" s="2">
        <v>45874</v>
      </c>
      <c r="H96" s="2">
        <v>45908</v>
      </c>
      <c r="I96" s="2">
        <v>45904</v>
      </c>
      <c r="J96" s="2">
        <v>45918</v>
      </c>
      <c r="L96" s="2">
        <v>45936</v>
      </c>
      <c r="M96" s="2">
        <v>45936</v>
      </c>
      <c r="N96" s="2">
        <v>45939</v>
      </c>
      <c r="O96" s="2">
        <v>45946</v>
      </c>
      <c r="P96" s="2">
        <v>45982</v>
      </c>
      <c r="Q96" s="2">
        <v>45982</v>
      </c>
      <c r="R96" s="2">
        <v>45982</v>
      </c>
      <c r="S96" s="1">
        <v>1</v>
      </c>
      <c r="W96" s="1">
        <f t="shared" si="20"/>
        <v>81</v>
      </c>
      <c r="X96" s="1">
        <f t="shared" si="21"/>
        <v>81</v>
      </c>
      <c r="Y96" s="1">
        <f t="shared" si="22"/>
        <v>0</v>
      </c>
      <c r="Z96" s="1">
        <f t="shared" si="26"/>
        <v>50</v>
      </c>
      <c r="AA96" s="1">
        <f t="shared" si="23"/>
        <v>3</v>
      </c>
      <c r="AB96" s="1">
        <f t="shared" si="27"/>
        <v>24</v>
      </c>
      <c r="AC96" s="1">
        <f t="shared" si="28"/>
        <v>23</v>
      </c>
      <c r="AD96" s="1">
        <f t="shared" si="24"/>
        <v>55</v>
      </c>
      <c r="AE96" s="1">
        <f t="shared" si="29"/>
        <v>47</v>
      </c>
      <c r="AF96" s="1" t="str">
        <f t="shared" si="30"/>
        <v>PAS DE DATE PAPIER</v>
      </c>
      <c r="AG96" s="1">
        <f t="shared" si="31"/>
        <v>47</v>
      </c>
      <c r="AH96" s="1">
        <f t="shared" si="32"/>
        <v>25</v>
      </c>
      <c r="AI96" s="1">
        <f t="shared" si="33"/>
        <v>35</v>
      </c>
      <c r="AJ96" s="1">
        <f t="shared" si="34"/>
        <v>12</v>
      </c>
      <c r="AK96" s="1">
        <f t="shared" si="19"/>
        <v>8</v>
      </c>
      <c r="AL96" s="1">
        <f t="shared" si="35"/>
        <v>5</v>
      </c>
      <c r="AM96" s="1">
        <f t="shared" si="25"/>
        <v>26</v>
      </c>
      <c r="AN96" s="1">
        <f t="shared" si="36"/>
        <v>0</v>
      </c>
    </row>
    <row r="97" spans="1:40" hidden="1" x14ac:dyDescent="0.3">
      <c r="A97" s="1">
        <v>25158</v>
      </c>
      <c r="B97" s="1" t="s">
        <v>101</v>
      </c>
      <c r="C97" s="3" t="s">
        <v>102</v>
      </c>
      <c r="D97" s="4">
        <v>1000</v>
      </c>
      <c r="E97" s="2" t="s">
        <v>193</v>
      </c>
      <c r="F97" s="2">
        <v>45869</v>
      </c>
      <c r="G97" s="2" t="s">
        <v>369</v>
      </c>
      <c r="H97" s="2">
        <v>45961</v>
      </c>
      <c r="I97" s="2">
        <v>45923</v>
      </c>
      <c r="J97" s="2">
        <v>45961</v>
      </c>
      <c r="K97" s="2">
        <v>45924</v>
      </c>
      <c r="L97" s="2">
        <v>45930</v>
      </c>
      <c r="N97" s="2">
        <v>46010</v>
      </c>
      <c r="O97" s="2">
        <v>45961</v>
      </c>
      <c r="P97" s="2">
        <v>45996</v>
      </c>
      <c r="Q97" s="2">
        <v>45996</v>
      </c>
      <c r="R97" s="2">
        <v>46038</v>
      </c>
      <c r="S97" s="1">
        <v>3</v>
      </c>
      <c r="W97" s="1">
        <f t="shared" si="20"/>
        <v>121</v>
      </c>
      <c r="X97" s="1">
        <f t="shared" si="21"/>
        <v>91</v>
      </c>
      <c r="Y97" s="1">
        <f t="shared" si="22"/>
        <v>0</v>
      </c>
      <c r="Z97" s="1">
        <f t="shared" si="26"/>
        <v>101</v>
      </c>
      <c r="AA97" s="1" t="str">
        <f t="shared" si="23"/>
        <v>DEVIS</v>
      </c>
      <c r="AB97" s="1">
        <f t="shared" si="27"/>
        <v>45961</v>
      </c>
      <c r="AC97" s="1">
        <f t="shared" si="28"/>
        <v>35</v>
      </c>
      <c r="AD97" s="1">
        <f t="shared" si="24"/>
        <v>66</v>
      </c>
      <c r="AE97" s="1">
        <f t="shared" si="29"/>
        <v>43</v>
      </c>
      <c r="AF97" s="1">
        <f t="shared" si="30"/>
        <v>39</v>
      </c>
      <c r="AG97" s="1" t="str">
        <f t="shared" si="31"/>
        <v>PAS DE DATE CARTON</v>
      </c>
      <c r="AH97" s="1">
        <f t="shared" si="32"/>
        <v>38</v>
      </c>
      <c r="AI97" s="1">
        <f t="shared" si="33"/>
        <v>66</v>
      </c>
      <c r="AJ97" s="1">
        <f t="shared" si="34"/>
        <v>-25</v>
      </c>
      <c r="AK97" s="1">
        <f t="shared" si="19"/>
        <v>23</v>
      </c>
      <c r="AL97" s="1">
        <f t="shared" si="35"/>
        <v>35</v>
      </c>
      <c r="AM97" s="1">
        <f t="shared" si="25"/>
        <v>-12</v>
      </c>
      <c r="AN97" s="1">
        <f t="shared" si="36"/>
        <v>30</v>
      </c>
    </row>
    <row r="98" spans="1:40" hidden="1" x14ac:dyDescent="0.3">
      <c r="A98" s="1">
        <v>25159</v>
      </c>
      <c r="B98" s="1" t="s">
        <v>73</v>
      </c>
      <c r="C98" s="3" t="s">
        <v>103</v>
      </c>
      <c r="D98" s="4">
        <v>900</v>
      </c>
      <c r="E98" s="2" t="s">
        <v>153</v>
      </c>
      <c r="F98" s="2">
        <v>45895</v>
      </c>
      <c r="G98" s="2" t="s">
        <v>373</v>
      </c>
      <c r="H98" s="2" t="s">
        <v>373</v>
      </c>
      <c r="L98" s="2">
        <v>45870</v>
      </c>
      <c r="N98" s="2" t="s">
        <v>373</v>
      </c>
      <c r="O98" s="2">
        <v>45905</v>
      </c>
      <c r="P98" s="2">
        <v>45933</v>
      </c>
      <c r="Q98" s="2">
        <v>45933</v>
      </c>
      <c r="R98" s="2">
        <v>45933</v>
      </c>
      <c r="S98" s="1">
        <v>1</v>
      </c>
      <c r="W98" s="1">
        <f t="shared" si="20"/>
        <v>28</v>
      </c>
      <c r="X98" s="1">
        <f t="shared" si="21"/>
        <v>28</v>
      </c>
      <c r="Y98" s="1">
        <f t="shared" si="22"/>
        <v>0</v>
      </c>
      <c r="Z98" s="1" t="str">
        <f t="shared" si="26"/>
        <v>STOCK MARINE</v>
      </c>
      <c r="AA98" s="1" t="str">
        <f t="shared" si="23"/>
        <v>STOCK MARINE</v>
      </c>
      <c r="AB98" s="1" t="str">
        <f t="shared" si="27"/>
        <v>STOCK MARINE</v>
      </c>
      <c r="AC98" s="1" t="str">
        <f t="shared" si="28"/>
        <v>STOCK MARINE</v>
      </c>
      <c r="AD98" s="1">
        <f t="shared" si="24"/>
        <v>8</v>
      </c>
      <c r="AE98" s="1">
        <f t="shared" si="29"/>
        <v>-19</v>
      </c>
      <c r="AF98" s="1" t="str">
        <f t="shared" si="30"/>
        <v>PAS DE DATE PAPIER</v>
      </c>
      <c r="AG98" s="1" t="str">
        <f t="shared" si="31"/>
        <v>PAS DE DATE CARTON</v>
      </c>
      <c r="AH98" s="1" t="str">
        <f t="shared" si="32"/>
        <v>PAS DE DATE FICHIER</v>
      </c>
      <c r="AI98" s="1" t="str">
        <f t="shared" si="33"/>
        <v>PAS DE DATE VALIDATION MODELE CLIENT</v>
      </c>
      <c r="AJ98" s="1">
        <f t="shared" si="34"/>
        <v>32764</v>
      </c>
      <c r="AK98" s="1">
        <f t="shared" si="19"/>
        <v>25</v>
      </c>
      <c r="AL98" s="1">
        <f t="shared" si="35"/>
        <v>0</v>
      </c>
      <c r="AM98" s="1">
        <f t="shared" si="25"/>
        <v>20</v>
      </c>
      <c r="AN98" s="1">
        <f t="shared" si="36"/>
        <v>0</v>
      </c>
    </row>
    <row r="99" spans="1:40" hidden="1" x14ac:dyDescent="0.3">
      <c r="A99" s="1">
        <v>25160</v>
      </c>
      <c r="B99" s="1" t="s">
        <v>73</v>
      </c>
      <c r="C99" s="3" t="s">
        <v>104</v>
      </c>
      <c r="D99" s="4">
        <v>200</v>
      </c>
      <c r="E99" s="2" t="s">
        <v>128</v>
      </c>
      <c r="F99" s="2">
        <v>45895</v>
      </c>
      <c r="H99" s="2">
        <v>45925</v>
      </c>
      <c r="I99" s="2">
        <v>45901</v>
      </c>
      <c r="J99" s="2">
        <v>45926</v>
      </c>
      <c r="L99" s="2">
        <v>45922</v>
      </c>
      <c r="N99" s="2">
        <v>45926</v>
      </c>
      <c r="O99" s="2">
        <v>45925</v>
      </c>
      <c r="P99" s="2">
        <v>45961</v>
      </c>
      <c r="Q99" s="2">
        <v>45961</v>
      </c>
      <c r="R99" s="2">
        <v>45961</v>
      </c>
      <c r="S99" s="1">
        <v>1</v>
      </c>
      <c r="W99" s="1">
        <f t="shared" si="20"/>
        <v>48</v>
      </c>
      <c r="X99" s="1">
        <f t="shared" si="21"/>
        <v>48</v>
      </c>
      <c r="Y99" s="1">
        <f t="shared" si="22"/>
        <v>0</v>
      </c>
      <c r="Z99" s="1">
        <f t="shared" si="26"/>
        <v>23</v>
      </c>
      <c r="AA99" s="1" t="str">
        <f t="shared" si="23"/>
        <v>PAS DE COMMANDE MATIERE</v>
      </c>
      <c r="AB99" s="1">
        <f t="shared" si="27"/>
        <v>32803</v>
      </c>
      <c r="AC99" s="1">
        <f t="shared" si="28"/>
        <v>1</v>
      </c>
      <c r="AD99" s="1">
        <f t="shared" si="24"/>
        <v>22</v>
      </c>
      <c r="AE99" s="1">
        <f t="shared" si="29"/>
        <v>19</v>
      </c>
      <c r="AF99" s="1" t="str">
        <f t="shared" si="30"/>
        <v>PAS DE DATE PAPIER</v>
      </c>
      <c r="AG99" s="1" t="str">
        <f t="shared" si="31"/>
        <v>PAS DE DATE CARTON</v>
      </c>
      <c r="AH99" s="1">
        <f t="shared" si="32"/>
        <v>4</v>
      </c>
      <c r="AI99" s="1">
        <f t="shared" si="33"/>
        <v>23</v>
      </c>
      <c r="AJ99" s="1">
        <f t="shared" si="34"/>
        <v>-6</v>
      </c>
      <c r="AK99" s="1">
        <f t="shared" si="19"/>
        <v>3</v>
      </c>
      <c r="AL99" s="1">
        <f t="shared" si="35"/>
        <v>1</v>
      </c>
      <c r="AM99" s="1">
        <f t="shared" si="25"/>
        <v>25</v>
      </c>
      <c r="AN99" s="1">
        <f t="shared" si="36"/>
        <v>0</v>
      </c>
    </row>
    <row r="100" spans="1:40" hidden="1" x14ac:dyDescent="0.3">
      <c r="A100" s="1">
        <v>25161</v>
      </c>
      <c r="B100" s="1" t="s">
        <v>105</v>
      </c>
      <c r="C100" s="3" t="s">
        <v>106</v>
      </c>
      <c r="D100" s="4">
        <v>300</v>
      </c>
      <c r="E100" s="2" t="s">
        <v>149</v>
      </c>
      <c r="F100" s="2">
        <v>45895</v>
      </c>
      <c r="H100" s="2">
        <v>45890</v>
      </c>
      <c r="I100" s="2">
        <v>45898</v>
      </c>
      <c r="J100" s="2">
        <v>45895</v>
      </c>
      <c r="L100" s="2">
        <v>45909</v>
      </c>
      <c r="M100" s="2" t="s">
        <v>199</v>
      </c>
      <c r="N100" s="2">
        <v>45912</v>
      </c>
      <c r="O100" s="2">
        <v>45911</v>
      </c>
      <c r="P100" s="2">
        <v>45933</v>
      </c>
      <c r="Q100" s="2">
        <v>45933</v>
      </c>
      <c r="R100" s="2">
        <v>45933</v>
      </c>
      <c r="S100" s="1">
        <v>1</v>
      </c>
      <c r="W100" s="1">
        <f t="shared" si="20"/>
        <v>28</v>
      </c>
      <c r="X100" s="1">
        <f t="shared" si="21"/>
        <v>28</v>
      </c>
      <c r="Y100" s="1">
        <f t="shared" si="22"/>
        <v>0</v>
      </c>
      <c r="Z100" s="1">
        <f t="shared" si="26"/>
        <v>13</v>
      </c>
      <c r="AA100" s="1" t="str">
        <f t="shared" si="23"/>
        <v>PAS DE COMMANDE MATIERE</v>
      </c>
      <c r="AB100" s="1">
        <f t="shared" si="27"/>
        <v>32778</v>
      </c>
      <c r="AC100" s="1">
        <f t="shared" si="28"/>
        <v>16</v>
      </c>
      <c r="AD100" s="1">
        <f t="shared" si="24"/>
        <v>12</v>
      </c>
      <c r="AE100" s="1">
        <f t="shared" si="29"/>
        <v>10</v>
      </c>
      <c r="AF100" s="1" t="str">
        <f t="shared" si="30"/>
        <v>PAS DE DATE PAPIER</v>
      </c>
      <c r="AG100" s="1" t="str">
        <f t="shared" si="31"/>
        <v>STOCK</v>
      </c>
      <c r="AH100" s="1">
        <f t="shared" si="32"/>
        <v>3</v>
      </c>
      <c r="AI100" s="1">
        <f t="shared" si="33"/>
        <v>0</v>
      </c>
      <c r="AJ100" s="1">
        <f t="shared" si="34"/>
        <v>7</v>
      </c>
      <c r="AK100" s="1">
        <f t="shared" si="19"/>
        <v>2</v>
      </c>
      <c r="AL100" s="1">
        <f t="shared" si="35"/>
        <v>1</v>
      </c>
      <c r="AM100" s="1">
        <f t="shared" si="25"/>
        <v>15</v>
      </c>
      <c r="AN100" s="1">
        <f t="shared" si="36"/>
        <v>0</v>
      </c>
    </row>
    <row r="101" spans="1:40" hidden="1" x14ac:dyDescent="0.3">
      <c r="A101" s="1">
        <v>25162</v>
      </c>
      <c r="B101" s="1" t="s">
        <v>107</v>
      </c>
      <c r="C101" s="3" t="s">
        <v>108</v>
      </c>
      <c r="D101" s="4">
        <v>2000</v>
      </c>
      <c r="E101" s="2" t="s">
        <v>136</v>
      </c>
      <c r="F101" s="2">
        <v>45897</v>
      </c>
      <c r="G101" s="2">
        <v>45904</v>
      </c>
      <c r="H101" s="2">
        <v>45923</v>
      </c>
      <c r="I101" s="2">
        <v>45929</v>
      </c>
      <c r="J101" s="2">
        <v>40447</v>
      </c>
      <c r="L101" s="2">
        <v>45937</v>
      </c>
      <c r="M101" s="2">
        <v>45936</v>
      </c>
      <c r="N101" s="2">
        <v>45947</v>
      </c>
      <c r="O101" s="2">
        <v>45946</v>
      </c>
      <c r="P101" s="2">
        <v>45933</v>
      </c>
      <c r="Q101" s="2">
        <v>45982</v>
      </c>
      <c r="R101" s="2">
        <v>45982</v>
      </c>
      <c r="S101" s="1">
        <v>1</v>
      </c>
      <c r="W101" s="1">
        <f t="shared" si="20"/>
        <v>61</v>
      </c>
      <c r="X101" s="1">
        <f t="shared" si="21"/>
        <v>61</v>
      </c>
      <c r="Y101" s="1">
        <f t="shared" si="22"/>
        <v>35</v>
      </c>
      <c r="Z101" s="1">
        <f t="shared" si="26"/>
        <v>36</v>
      </c>
      <c r="AA101" s="1">
        <f t="shared" si="23"/>
        <v>5</v>
      </c>
      <c r="AB101" s="1">
        <f t="shared" si="27"/>
        <v>13</v>
      </c>
      <c r="AC101" s="1">
        <f t="shared" si="28"/>
        <v>18</v>
      </c>
      <c r="AD101" s="1">
        <f t="shared" si="24"/>
        <v>35</v>
      </c>
      <c r="AE101" s="1">
        <f t="shared" si="29"/>
        <v>28</v>
      </c>
      <c r="AF101" s="1" t="str">
        <f t="shared" si="30"/>
        <v>PAS DE DATE PAPIER</v>
      </c>
      <c r="AG101" s="1">
        <f t="shared" si="31"/>
        <v>27</v>
      </c>
      <c r="AH101" s="1">
        <f t="shared" si="32"/>
        <v>22</v>
      </c>
      <c r="AI101" s="1">
        <f t="shared" si="33"/>
        <v>-3895</v>
      </c>
      <c r="AJ101" s="1">
        <f t="shared" si="34"/>
        <v>6</v>
      </c>
      <c r="AK101" s="1">
        <f t="shared" si="19"/>
        <v>7</v>
      </c>
      <c r="AL101" s="1">
        <f t="shared" si="35"/>
        <v>1</v>
      </c>
      <c r="AM101" s="1">
        <f t="shared" si="25"/>
        <v>25</v>
      </c>
      <c r="AN101" s="1">
        <f t="shared" si="36"/>
        <v>0</v>
      </c>
    </row>
    <row r="102" spans="1:40" hidden="1" x14ac:dyDescent="0.3">
      <c r="A102" s="1">
        <v>25163</v>
      </c>
      <c r="B102" s="1" t="s">
        <v>40</v>
      </c>
      <c r="C102" s="3" t="s">
        <v>109</v>
      </c>
      <c r="D102" s="4">
        <v>500</v>
      </c>
      <c r="E102" s="2" t="s">
        <v>153</v>
      </c>
      <c r="F102" s="2">
        <v>45903</v>
      </c>
      <c r="G102" s="2">
        <v>45905</v>
      </c>
      <c r="H102" s="2">
        <v>45961</v>
      </c>
      <c r="I102" s="2">
        <v>45933</v>
      </c>
      <c r="J102" s="2">
        <v>45937</v>
      </c>
      <c r="L102" s="2">
        <v>45953</v>
      </c>
      <c r="N102" s="2">
        <v>45975</v>
      </c>
      <c r="O102" s="2">
        <v>45967</v>
      </c>
      <c r="P102" s="2">
        <v>45989</v>
      </c>
      <c r="Q102" s="2">
        <v>45996</v>
      </c>
      <c r="R102" s="2">
        <v>45996</v>
      </c>
      <c r="S102" s="1">
        <v>1</v>
      </c>
      <c r="W102" s="1">
        <f t="shared" si="20"/>
        <v>67</v>
      </c>
      <c r="X102" s="1">
        <f t="shared" si="21"/>
        <v>67</v>
      </c>
      <c r="Y102" s="1">
        <f t="shared" si="22"/>
        <v>5</v>
      </c>
      <c r="Z102" s="1">
        <f t="shared" si="26"/>
        <v>52</v>
      </c>
      <c r="AA102" s="1">
        <f t="shared" si="23"/>
        <v>2</v>
      </c>
      <c r="AB102" s="1">
        <f t="shared" si="27"/>
        <v>40</v>
      </c>
      <c r="AC102" s="1">
        <f t="shared" si="28"/>
        <v>10</v>
      </c>
      <c r="AD102" s="1">
        <f t="shared" si="24"/>
        <v>46</v>
      </c>
      <c r="AE102" s="1">
        <f t="shared" si="29"/>
        <v>36</v>
      </c>
      <c r="AF102" s="1" t="str">
        <f t="shared" si="30"/>
        <v>PAS DE DATE PAPIER</v>
      </c>
      <c r="AG102" s="1" t="str">
        <f t="shared" si="31"/>
        <v>PAS DE DATE CARTON</v>
      </c>
      <c r="AH102" s="1">
        <f t="shared" si="32"/>
        <v>22</v>
      </c>
      <c r="AI102" s="1">
        <f t="shared" si="33"/>
        <v>24</v>
      </c>
      <c r="AJ102" s="1">
        <f t="shared" si="34"/>
        <v>12</v>
      </c>
      <c r="AK102" s="1">
        <f t="shared" si="19"/>
        <v>10</v>
      </c>
      <c r="AL102" s="1">
        <f t="shared" si="35"/>
        <v>6</v>
      </c>
      <c r="AM102" s="1">
        <f t="shared" si="25"/>
        <v>15</v>
      </c>
      <c r="AN102" s="1">
        <f t="shared" si="36"/>
        <v>0</v>
      </c>
    </row>
    <row r="103" spans="1:40" hidden="1" x14ac:dyDescent="0.3">
      <c r="A103" s="1">
        <v>25164</v>
      </c>
      <c r="B103" s="1" t="s">
        <v>35</v>
      </c>
      <c r="C103" s="3" t="s">
        <v>110</v>
      </c>
      <c r="D103" s="4">
        <v>2000</v>
      </c>
      <c r="E103" s="2" t="s">
        <v>149</v>
      </c>
      <c r="F103" s="2">
        <v>45902</v>
      </c>
      <c r="W103" s="1" t="str">
        <f t="shared" si="20"/>
        <v>NON LIVRE</v>
      </c>
      <c r="X103" s="1" t="str">
        <f t="shared" si="21"/>
        <v>NON LIVRE</v>
      </c>
      <c r="Y103" s="1" t="str">
        <f t="shared" si="22"/>
        <v>NON LIVRE</v>
      </c>
      <c r="Z103" s="1" t="str">
        <f t="shared" si="26"/>
        <v>NON LIVRE</v>
      </c>
      <c r="AA103" s="1" t="str">
        <f t="shared" si="23"/>
        <v>NON LIVRE</v>
      </c>
      <c r="AB103" s="1" t="str">
        <f t="shared" si="27"/>
        <v>NON LIVRE</v>
      </c>
      <c r="AC103" s="1" t="str">
        <f t="shared" si="28"/>
        <v>NON LIVRE</v>
      </c>
      <c r="AD103" s="1" t="str">
        <f t="shared" si="24"/>
        <v>NON LIVRE</v>
      </c>
      <c r="AE103" s="1" t="str">
        <f t="shared" si="29"/>
        <v>NON LIVRE</v>
      </c>
      <c r="AF103" s="1" t="str">
        <f t="shared" si="30"/>
        <v>NON LIVRE</v>
      </c>
      <c r="AG103" s="1" t="str">
        <f t="shared" si="31"/>
        <v>NON LIVRE</v>
      </c>
      <c r="AH103" s="1" t="str">
        <f t="shared" si="32"/>
        <v>NON LIVRE</v>
      </c>
      <c r="AI103" s="1" t="str">
        <f t="shared" si="33"/>
        <v>NON LIVRE</v>
      </c>
      <c r="AJ103" s="1" t="str">
        <f t="shared" si="34"/>
        <v>NON LIVRE</v>
      </c>
      <c r="AK103" s="1" t="str">
        <f t="shared" ref="AK103:AK166" si="37">IFERROR(IF($R103="","NON LIVRE",IF($L103="","PAS D'IMPRESSION",IF($O103="","PAS DE DATE DEPART EN PROD TIRAGES ET ACHATS",NETWORKDAYS($L103,$O103)-1))),$O103)</f>
        <v>NON LIVRE</v>
      </c>
      <c r="AL103" s="1" t="str">
        <f t="shared" si="35"/>
        <v>NON LIVRE</v>
      </c>
      <c r="AM103" s="1" t="str">
        <f t="shared" si="25"/>
        <v>NON LIVRE</v>
      </c>
      <c r="AN103" s="1" t="str">
        <f t="shared" si="36"/>
        <v>NON LIVRE</v>
      </c>
    </row>
    <row r="104" spans="1:40" hidden="1" x14ac:dyDescent="0.3">
      <c r="A104" s="1">
        <v>25165</v>
      </c>
      <c r="B104" s="1" t="s">
        <v>111</v>
      </c>
      <c r="C104" s="3" t="s">
        <v>112</v>
      </c>
      <c r="D104" s="4">
        <v>2900</v>
      </c>
      <c r="E104" s="2" t="s">
        <v>194</v>
      </c>
      <c r="F104" s="2">
        <v>45903</v>
      </c>
      <c r="H104" s="2">
        <v>45933</v>
      </c>
      <c r="I104" s="2">
        <v>45923</v>
      </c>
      <c r="K104" s="2">
        <v>45925</v>
      </c>
      <c r="L104" s="2">
        <v>45926</v>
      </c>
      <c r="O104" s="2">
        <v>45926</v>
      </c>
      <c r="P104" s="2">
        <v>45982</v>
      </c>
      <c r="Q104" s="2">
        <v>45982</v>
      </c>
      <c r="R104" s="2">
        <v>45982</v>
      </c>
      <c r="S104" s="1">
        <v>1</v>
      </c>
      <c r="W104" s="1">
        <f t="shared" si="20"/>
        <v>57</v>
      </c>
      <c r="X104" s="1">
        <f t="shared" si="21"/>
        <v>57</v>
      </c>
      <c r="Y104" s="1">
        <f t="shared" si="22"/>
        <v>0</v>
      </c>
      <c r="Z104" s="1" t="str">
        <f t="shared" si="26"/>
        <v>PAS DE DEPART MATIERE</v>
      </c>
      <c r="AA104" s="1" t="str">
        <f t="shared" si="23"/>
        <v>PAS DE COMMANDE MATIERE</v>
      </c>
      <c r="AB104" s="1">
        <f t="shared" si="27"/>
        <v>32809</v>
      </c>
      <c r="AC104" s="1" t="str">
        <f t="shared" si="28"/>
        <v>PAS DE COMMANDE MATIERE</v>
      </c>
      <c r="AD104" s="1">
        <f t="shared" si="24"/>
        <v>17</v>
      </c>
      <c r="AE104" s="1">
        <f t="shared" si="29"/>
        <v>17</v>
      </c>
      <c r="AF104" s="1">
        <f t="shared" si="30"/>
        <v>16</v>
      </c>
      <c r="AG104" s="1" t="str">
        <f t="shared" si="31"/>
        <v>PAS DE DATE CARTON</v>
      </c>
      <c r="AH104" s="1">
        <f t="shared" si="32"/>
        <v>14</v>
      </c>
      <c r="AI104" s="1" t="str">
        <f t="shared" si="33"/>
        <v>PAS DE DATE VALIDATION MODELE CLIENT</v>
      </c>
      <c r="AJ104" s="1">
        <f t="shared" si="34"/>
        <v>3</v>
      </c>
      <c r="AK104" s="1">
        <f t="shared" si="37"/>
        <v>0</v>
      </c>
      <c r="AL104" s="1">
        <f t="shared" si="35"/>
        <v>0</v>
      </c>
      <c r="AM104" s="1">
        <f t="shared" si="25"/>
        <v>40</v>
      </c>
      <c r="AN104" s="1" t="str">
        <f t="shared" si="36"/>
        <v>PAS D'IMPRESSION</v>
      </c>
    </row>
    <row r="105" spans="1:40" hidden="1" x14ac:dyDescent="0.3">
      <c r="A105" s="1">
        <v>25166</v>
      </c>
      <c r="B105" s="1" t="s">
        <v>113</v>
      </c>
      <c r="C105" s="3" t="s">
        <v>114</v>
      </c>
      <c r="D105" s="4">
        <v>1000</v>
      </c>
      <c r="E105" s="2" t="s">
        <v>158</v>
      </c>
      <c r="F105" s="2">
        <v>45904</v>
      </c>
      <c r="H105" s="2">
        <v>45980</v>
      </c>
      <c r="I105" s="2">
        <v>45945</v>
      </c>
      <c r="J105" s="2">
        <v>45986</v>
      </c>
      <c r="L105" s="2">
        <v>45996</v>
      </c>
      <c r="M105" s="2">
        <v>45937</v>
      </c>
      <c r="N105" s="2">
        <v>46003</v>
      </c>
      <c r="O105" s="2">
        <v>46014</v>
      </c>
      <c r="P105" s="2">
        <v>46045</v>
      </c>
      <c r="Q105" s="2">
        <v>46045</v>
      </c>
      <c r="R105" s="2">
        <v>46052</v>
      </c>
      <c r="S105" s="1">
        <v>2</v>
      </c>
      <c r="W105" s="1">
        <f t="shared" si="20"/>
        <v>106</v>
      </c>
      <c r="X105" s="1">
        <f t="shared" si="21"/>
        <v>101</v>
      </c>
      <c r="Y105" s="1">
        <f t="shared" si="22"/>
        <v>0</v>
      </c>
      <c r="Z105" s="1">
        <f t="shared" si="26"/>
        <v>71</v>
      </c>
      <c r="AA105" s="1" t="str">
        <f t="shared" si="23"/>
        <v>PAS DE COMMANDE MATIERE</v>
      </c>
      <c r="AB105" s="1">
        <f t="shared" si="27"/>
        <v>32842</v>
      </c>
      <c r="AC105" s="1">
        <f t="shared" si="28"/>
        <v>17</v>
      </c>
      <c r="AD105" s="1">
        <f t="shared" si="24"/>
        <v>78</v>
      </c>
      <c r="AE105" s="1">
        <f t="shared" si="29"/>
        <v>66</v>
      </c>
      <c r="AF105" s="1" t="str">
        <f t="shared" si="30"/>
        <v>PAS DE DATE PAPIER</v>
      </c>
      <c r="AG105" s="1">
        <f t="shared" si="31"/>
        <v>23</v>
      </c>
      <c r="AH105" s="1">
        <f t="shared" si="32"/>
        <v>29</v>
      </c>
      <c r="AI105" s="1">
        <f t="shared" si="33"/>
        <v>58</v>
      </c>
      <c r="AJ105" s="1">
        <f t="shared" si="34"/>
        <v>8</v>
      </c>
      <c r="AK105" s="1">
        <f t="shared" si="37"/>
        <v>12</v>
      </c>
      <c r="AL105" s="1">
        <f t="shared" si="35"/>
        <v>7</v>
      </c>
      <c r="AM105" s="1">
        <f t="shared" si="25"/>
        <v>23</v>
      </c>
      <c r="AN105" s="1">
        <f t="shared" si="36"/>
        <v>5</v>
      </c>
    </row>
    <row r="106" spans="1:40" hidden="1" x14ac:dyDescent="0.3">
      <c r="A106" s="1">
        <v>25167</v>
      </c>
      <c r="B106" s="1" t="s">
        <v>17</v>
      </c>
      <c r="C106" s="3" t="s">
        <v>115</v>
      </c>
      <c r="D106" s="4">
        <v>4000</v>
      </c>
      <c r="E106" s="2" t="s">
        <v>136</v>
      </c>
      <c r="F106" s="2">
        <v>45909</v>
      </c>
      <c r="G106" s="2">
        <v>45912</v>
      </c>
      <c r="H106" s="2">
        <v>45925</v>
      </c>
      <c r="I106" s="2">
        <v>45915</v>
      </c>
      <c r="J106" s="2">
        <v>45909</v>
      </c>
      <c r="L106" s="2">
        <v>45930</v>
      </c>
      <c r="M106" s="2">
        <v>45936</v>
      </c>
      <c r="N106" s="2">
        <v>45939</v>
      </c>
      <c r="O106" s="2">
        <v>45947</v>
      </c>
      <c r="P106" s="2">
        <v>45968</v>
      </c>
      <c r="Q106" s="2">
        <v>45982</v>
      </c>
      <c r="R106" s="2">
        <v>45982</v>
      </c>
      <c r="S106" s="1">
        <v>1</v>
      </c>
      <c r="W106" s="1">
        <f t="shared" si="20"/>
        <v>53</v>
      </c>
      <c r="X106" s="1">
        <f t="shared" si="21"/>
        <v>53</v>
      </c>
      <c r="Y106" s="1">
        <f t="shared" si="22"/>
        <v>10</v>
      </c>
      <c r="Z106" s="1">
        <f t="shared" si="26"/>
        <v>22</v>
      </c>
      <c r="AA106" s="1">
        <f t="shared" si="23"/>
        <v>3</v>
      </c>
      <c r="AB106" s="1">
        <f t="shared" si="27"/>
        <v>9</v>
      </c>
      <c r="AC106" s="1">
        <f t="shared" si="28"/>
        <v>10</v>
      </c>
      <c r="AD106" s="1">
        <f t="shared" si="24"/>
        <v>28</v>
      </c>
      <c r="AE106" s="1">
        <f t="shared" si="29"/>
        <v>15</v>
      </c>
      <c r="AF106" s="1" t="str">
        <f t="shared" si="30"/>
        <v>PAS DE DATE PAPIER</v>
      </c>
      <c r="AG106" s="1">
        <f t="shared" si="31"/>
        <v>19</v>
      </c>
      <c r="AH106" s="1">
        <f t="shared" si="32"/>
        <v>4</v>
      </c>
      <c r="AI106" s="1">
        <f t="shared" si="33"/>
        <v>0</v>
      </c>
      <c r="AJ106" s="1">
        <f t="shared" si="34"/>
        <v>11</v>
      </c>
      <c r="AK106" s="1">
        <f t="shared" si="37"/>
        <v>13</v>
      </c>
      <c r="AL106" s="1">
        <f t="shared" si="35"/>
        <v>6</v>
      </c>
      <c r="AM106" s="1">
        <f t="shared" si="25"/>
        <v>25</v>
      </c>
      <c r="AN106" s="1">
        <f t="shared" si="36"/>
        <v>0</v>
      </c>
    </row>
    <row r="107" spans="1:40" hidden="1" x14ac:dyDescent="0.3">
      <c r="A107" s="1">
        <v>25168</v>
      </c>
      <c r="B107" s="1" t="s">
        <v>60</v>
      </c>
      <c r="C107" s="3" t="s">
        <v>116</v>
      </c>
      <c r="D107" s="4">
        <v>1500</v>
      </c>
      <c r="E107" s="2" t="s">
        <v>133</v>
      </c>
      <c r="F107" s="2">
        <v>45910</v>
      </c>
      <c r="G107" s="2">
        <v>45911</v>
      </c>
      <c r="H107" s="2">
        <v>46010</v>
      </c>
      <c r="I107" s="2">
        <v>46003</v>
      </c>
      <c r="J107" s="2">
        <v>46006</v>
      </c>
      <c r="K107" s="2">
        <v>45939</v>
      </c>
      <c r="L107" s="2">
        <v>46051</v>
      </c>
      <c r="M107" s="2">
        <v>45936</v>
      </c>
      <c r="N107" s="2">
        <v>46065</v>
      </c>
      <c r="O107" s="2">
        <v>46051</v>
      </c>
      <c r="P107" s="2">
        <v>46080</v>
      </c>
      <c r="Q107" s="2">
        <v>46080</v>
      </c>
      <c r="R107" s="2">
        <v>46080</v>
      </c>
      <c r="S107" s="1">
        <v>1</v>
      </c>
      <c r="W107" s="1">
        <f t="shared" si="20"/>
        <v>122</v>
      </c>
      <c r="X107" s="1">
        <f t="shared" si="21"/>
        <v>122</v>
      </c>
      <c r="Y107" s="1">
        <f t="shared" si="22"/>
        <v>0</v>
      </c>
      <c r="Z107" s="1">
        <f t="shared" si="26"/>
        <v>111</v>
      </c>
      <c r="AA107" s="1">
        <f t="shared" si="23"/>
        <v>1</v>
      </c>
      <c r="AB107" s="1">
        <f t="shared" si="27"/>
        <v>71</v>
      </c>
      <c r="AC107" s="1">
        <f t="shared" si="28"/>
        <v>39</v>
      </c>
      <c r="AD107" s="1">
        <f t="shared" si="24"/>
        <v>101</v>
      </c>
      <c r="AE107" s="1">
        <f t="shared" si="29"/>
        <v>101</v>
      </c>
      <c r="AF107" s="1">
        <f t="shared" si="30"/>
        <v>21</v>
      </c>
      <c r="AG107" s="1">
        <f t="shared" si="31"/>
        <v>18</v>
      </c>
      <c r="AH107" s="1">
        <f t="shared" si="32"/>
        <v>67</v>
      </c>
      <c r="AI107" s="1">
        <f t="shared" si="33"/>
        <v>68</v>
      </c>
      <c r="AJ107" s="1">
        <f t="shared" si="34"/>
        <v>33</v>
      </c>
      <c r="AK107" s="1">
        <f t="shared" si="37"/>
        <v>0</v>
      </c>
      <c r="AL107" s="1">
        <f t="shared" si="35"/>
        <v>10</v>
      </c>
      <c r="AM107" s="1">
        <f t="shared" si="25"/>
        <v>11</v>
      </c>
      <c r="AN107" s="1">
        <f t="shared" si="36"/>
        <v>0</v>
      </c>
    </row>
    <row r="108" spans="1:40" hidden="1" x14ac:dyDescent="0.3">
      <c r="A108" s="1">
        <v>25169</v>
      </c>
      <c r="B108" s="1" t="s">
        <v>9</v>
      </c>
      <c r="C108" s="3" t="s">
        <v>117</v>
      </c>
      <c r="D108" s="4">
        <v>1500</v>
      </c>
      <c r="E108" s="2" t="s">
        <v>133</v>
      </c>
      <c r="F108" s="2">
        <v>45910</v>
      </c>
      <c r="G108" s="2">
        <v>45911</v>
      </c>
      <c r="H108" s="2">
        <v>45936</v>
      </c>
      <c r="I108" s="2">
        <v>45958</v>
      </c>
      <c r="J108" s="2">
        <v>45915</v>
      </c>
      <c r="K108" s="2">
        <v>45939</v>
      </c>
      <c r="L108" s="2">
        <v>45964</v>
      </c>
      <c r="M108" s="2">
        <v>45936</v>
      </c>
      <c r="N108" s="2">
        <v>45947</v>
      </c>
      <c r="O108" s="2">
        <v>45967</v>
      </c>
      <c r="P108" s="2">
        <v>45989</v>
      </c>
      <c r="Q108" s="2">
        <v>45989</v>
      </c>
      <c r="R108" s="2">
        <v>45989</v>
      </c>
      <c r="S108" s="1">
        <v>1</v>
      </c>
      <c r="W108" s="1">
        <f t="shared" si="20"/>
        <v>57</v>
      </c>
      <c r="X108" s="1">
        <f t="shared" si="21"/>
        <v>57</v>
      </c>
      <c r="Y108" s="1">
        <f t="shared" si="22"/>
        <v>0</v>
      </c>
      <c r="Z108" s="1">
        <f t="shared" si="26"/>
        <v>27</v>
      </c>
      <c r="AA108" s="1">
        <f t="shared" si="23"/>
        <v>1</v>
      </c>
      <c r="AB108" s="1">
        <f t="shared" si="27"/>
        <v>17</v>
      </c>
      <c r="AC108" s="1">
        <f t="shared" si="28"/>
        <v>9</v>
      </c>
      <c r="AD108" s="1">
        <f t="shared" si="24"/>
        <v>41</v>
      </c>
      <c r="AE108" s="1">
        <f t="shared" si="29"/>
        <v>38</v>
      </c>
      <c r="AF108" s="1">
        <f t="shared" si="30"/>
        <v>21</v>
      </c>
      <c r="AG108" s="1">
        <f t="shared" si="31"/>
        <v>18</v>
      </c>
      <c r="AH108" s="1">
        <f t="shared" si="32"/>
        <v>34</v>
      </c>
      <c r="AI108" s="1">
        <f t="shared" si="33"/>
        <v>3</v>
      </c>
      <c r="AJ108" s="1">
        <f t="shared" si="34"/>
        <v>4</v>
      </c>
      <c r="AK108" s="1">
        <f t="shared" si="37"/>
        <v>3</v>
      </c>
      <c r="AL108" s="1">
        <f t="shared" si="35"/>
        <v>14</v>
      </c>
      <c r="AM108" s="1">
        <f t="shared" si="25"/>
        <v>16</v>
      </c>
      <c r="AN108" s="1">
        <f t="shared" si="36"/>
        <v>0</v>
      </c>
    </row>
    <row r="109" spans="1:40" hidden="1" x14ac:dyDescent="0.3">
      <c r="A109" s="1">
        <v>25170</v>
      </c>
      <c r="B109" s="1" t="s">
        <v>9</v>
      </c>
      <c r="C109" s="3" t="s">
        <v>118</v>
      </c>
      <c r="D109" s="4">
        <v>500</v>
      </c>
      <c r="E109" s="2" t="s">
        <v>136</v>
      </c>
      <c r="F109" s="2">
        <v>45910</v>
      </c>
      <c r="G109" s="2">
        <v>45911</v>
      </c>
      <c r="H109" s="2">
        <v>45959</v>
      </c>
      <c r="I109" s="2">
        <v>45943</v>
      </c>
      <c r="J109" s="2">
        <v>45958</v>
      </c>
      <c r="L109" s="2">
        <v>45959</v>
      </c>
      <c r="M109" s="2" t="s">
        <v>199</v>
      </c>
      <c r="N109" s="2">
        <v>45961</v>
      </c>
      <c r="O109" s="2">
        <v>45960</v>
      </c>
      <c r="P109" s="2">
        <v>45982</v>
      </c>
      <c r="Q109" s="2">
        <v>45982</v>
      </c>
      <c r="R109" s="2">
        <v>45982</v>
      </c>
      <c r="S109" s="1">
        <v>1</v>
      </c>
      <c r="W109" s="1">
        <f t="shared" si="20"/>
        <v>52</v>
      </c>
      <c r="X109" s="1">
        <f t="shared" si="21"/>
        <v>52</v>
      </c>
      <c r="Y109" s="1">
        <f t="shared" si="22"/>
        <v>0</v>
      </c>
      <c r="Z109" s="1">
        <f t="shared" si="26"/>
        <v>37</v>
      </c>
      <c r="AA109" s="1">
        <f t="shared" si="23"/>
        <v>1</v>
      </c>
      <c r="AB109" s="1">
        <f t="shared" si="27"/>
        <v>34</v>
      </c>
      <c r="AC109" s="1">
        <f t="shared" si="28"/>
        <v>2</v>
      </c>
      <c r="AD109" s="1">
        <f t="shared" si="24"/>
        <v>36</v>
      </c>
      <c r="AE109" s="1">
        <f t="shared" si="29"/>
        <v>35</v>
      </c>
      <c r="AF109" s="1" t="str">
        <f t="shared" si="30"/>
        <v>PAS DE DATE PAPIER</v>
      </c>
      <c r="AG109" s="1" t="str">
        <f t="shared" si="31"/>
        <v>STOCK</v>
      </c>
      <c r="AH109" s="1">
        <f t="shared" si="32"/>
        <v>23</v>
      </c>
      <c r="AI109" s="1">
        <f t="shared" si="33"/>
        <v>34</v>
      </c>
      <c r="AJ109" s="1">
        <f t="shared" si="34"/>
        <v>1</v>
      </c>
      <c r="AK109" s="1">
        <f t="shared" si="37"/>
        <v>1</v>
      </c>
      <c r="AL109" s="1">
        <f t="shared" si="35"/>
        <v>1</v>
      </c>
      <c r="AM109" s="1">
        <f t="shared" si="25"/>
        <v>15</v>
      </c>
      <c r="AN109" s="1">
        <f t="shared" si="36"/>
        <v>0</v>
      </c>
    </row>
    <row r="110" spans="1:40" hidden="1" x14ac:dyDescent="0.3">
      <c r="A110" s="1">
        <v>25171</v>
      </c>
      <c r="B110" s="1" t="s">
        <v>9</v>
      </c>
      <c r="C110" s="3" t="s">
        <v>119</v>
      </c>
      <c r="D110" s="4">
        <v>1500</v>
      </c>
      <c r="E110" s="2" t="s">
        <v>133</v>
      </c>
      <c r="F110" s="2">
        <v>45910</v>
      </c>
      <c r="G110" s="2">
        <v>45911</v>
      </c>
      <c r="H110" s="2">
        <v>45936</v>
      </c>
      <c r="I110" s="2">
        <v>45931</v>
      </c>
      <c r="J110" s="2">
        <v>45916</v>
      </c>
      <c r="K110" s="2">
        <v>45939</v>
      </c>
      <c r="L110" s="2">
        <v>45952</v>
      </c>
      <c r="M110" s="2">
        <v>45936</v>
      </c>
      <c r="N110" s="2">
        <v>45947</v>
      </c>
      <c r="O110" s="2">
        <v>45953</v>
      </c>
      <c r="P110" s="2">
        <v>45982</v>
      </c>
      <c r="Q110" s="2">
        <v>45982</v>
      </c>
      <c r="R110" s="2">
        <v>45982</v>
      </c>
      <c r="S110" s="1">
        <v>1</v>
      </c>
      <c r="W110" s="1">
        <f t="shared" si="20"/>
        <v>52</v>
      </c>
      <c r="X110" s="1">
        <f t="shared" si="21"/>
        <v>52</v>
      </c>
      <c r="Y110" s="1">
        <f t="shared" si="22"/>
        <v>0</v>
      </c>
      <c r="Z110" s="1">
        <f t="shared" si="26"/>
        <v>27</v>
      </c>
      <c r="AA110" s="1">
        <f t="shared" si="23"/>
        <v>1</v>
      </c>
      <c r="AB110" s="1">
        <f t="shared" si="27"/>
        <v>17</v>
      </c>
      <c r="AC110" s="1">
        <f t="shared" si="28"/>
        <v>9</v>
      </c>
      <c r="AD110" s="1">
        <f t="shared" si="24"/>
        <v>31</v>
      </c>
      <c r="AE110" s="1">
        <f t="shared" si="29"/>
        <v>30</v>
      </c>
      <c r="AF110" s="1">
        <f t="shared" si="30"/>
        <v>21</v>
      </c>
      <c r="AG110" s="1">
        <f t="shared" si="31"/>
        <v>18</v>
      </c>
      <c r="AH110" s="1">
        <f t="shared" si="32"/>
        <v>15</v>
      </c>
      <c r="AI110" s="1">
        <f t="shared" si="33"/>
        <v>4</v>
      </c>
      <c r="AJ110" s="1">
        <f t="shared" si="34"/>
        <v>15</v>
      </c>
      <c r="AK110" s="1">
        <f t="shared" si="37"/>
        <v>1</v>
      </c>
      <c r="AL110" s="1">
        <f t="shared" si="35"/>
        <v>4</v>
      </c>
      <c r="AM110" s="1">
        <f t="shared" si="25"/>
        <v>21</v>
      </c>
      <c r="AN110" s="1">
        <f t="shared" si="36"/>
        <v>0</v>
      </c>
    </row>
    <row r="111" spans="1:40" hidden="1" x14ac:dyDescent="0.3">
      <c r="A111" s="1">
        <v>25172</v>
      </c>
      <c r="B111" s="1" t="s">
        <v>120</v>
      </c>
      <c r="C111" s="3" t="s">
        <v>121</v>
      </c>
      <c r="D111" s="4">
        <v>500</v>
      </c>
      <c r="E111" s="2" t="s">
        <v>165</v>
      </c>
      <c r="F111" s="2">
        <v>45910</v>
      </c>
      <c r="G111" s="2">
        <v>45931</v>
      </c>
      <c r="H111" s="2">
        <v>45943</v>
      </c>
      <c r="I111" s="2">
        <v>45957</v>
      </c>
      <c r="J111" s="2">
        <v>45964</v>
      </c>
      <c r="L111" s="2">
        <v>45966</v>
      </c>
      <c r="M111" s="2" t="s">
        <v>199</v>
      </c>
      <c r="N111" s="2">
        <v>45966</v>
      </c>
      <c r="O111" s="2">
        <v>45968</v>
      </c>
      <c r="P111" s="2">
        <v>45996</v>
      </c>
      <c r="Q111" s="2">
        <v>45996</v>
      </c>
      <c r="R111" s="2">
        <v>46031</v>
      </c>
      <c r="S111" s="1">
        <v>7</v>
      </c>
      <c r="W111" s="1">
        <f t="shared" si="20"/>
        <v>87</v>
      </c>
      <c r="X111" s="1">
        <f t="shared" si="21"/>
        <v>62</v>
      </c>
      <c r="Y111" s="1">
        <f t="shared" si="22"/>
        <v>0</v>
      </c>
      <c r="Z111" s="1">
        <f t="shared" si="26"/>
        <v>40</v>
      </c>
      <c r="AA111" s="1">
        <f t="shared" si="23"/>
        <v>15</v>
      </c>
      <c r="AB111" s="1">
        <f t="shared" si="27"/>
        <v>8</v>
      </c>
      <c r="AC111" s="1">
        <f t="shared" si="28"/>
        <v>17</v>
      </c>
      <c r="AD111" s="1">
        <f t="shared" si="24"/>
        <v>42</v>
      </c>
      <c r="AE111" s="1">
        <f t="shared" si="29"/>
        <v>40</v>
      </c>
      <c r="AF111" s="1" t="str">
        <f t="shared" si="30"/>
        <v>PAS DE DATE PAPIER</v>
      </c>
      <c r="AG111" s="1" t="str">
        <f t="shared" si="31"/>
        <v>STOCK</v>
      </c>
      <c r="AH111" s="1">
        <f t="shared" si="32"/>
        <v>33</v>
      </c>
      <c r="AI111" s="1">
        <f t="shared" si="33"/>
        <v>38</v>
      </c>
      <c r="AJ111" s="1">
        <f t="shared" si="34"/>
        <v>2</v>
      </c>
      <c r="AK111" s="1">
        <f t="shared" si="37"/>
        <v>2</v>
      </c>
      <c r="AL111" s="1">
        <f t="shared" si="35"/>
        <v>2</v>
      </c>
      <c r="AM111" s="1">
        <f t="shared" si="25"/>
        <v>20</v>
      </c>
      <c r="AN111" s="1">
        <f t="shared" si="36"/>
        <v>25</v>
      </c>
    </row>
    <row r="112" spans="1:40" hidden="1" x14ac:dyDescent="0.3">
      <c r="A112" s="1">
        <v>25173</v>
      </c>
      <c r="B112" s="1" t="s">
        <v>9</v>
      </c>
      <c r="C112" s="3" t="s">
        <v>122</v>
      </c>
      <c r="D112" s="4">
        <v>500</v>
      </c>
      <c r="E112" s="2" t="s">
        <v>133</v>
      </c>
      <c r="F112" s="2">
        <v>45910</v>
      </c>
      <c r="G112" s="2">
        <v>45912</v>
      </c>
      <c r="H112" s="2">
        <v>45936</v>
      </c>
      <c r="I112" s="2">
        <v>45929</v>
      </c>
      <c r="J112" s="2">
        <v>45939</v>
      </c>
      <c r="K112" s="2">
        <v>45940</v>
      </c>
      <c r="L112" s="2">
        <v>45952</v>
      </c>
      <c r="M112" s="2" t="s">
        <v>199</v>
      </c>
      <c r="N112" s="2">
        <v>45939</v>
      </c>
      <c r="O112" s="2">
        <v>45953</v>
      </c>
      <c r="P112" s="2">
        <v>45975</v>
      </c>
      <c r="Q112" s="2">
        <v>45975</v>
      </c>
      <c r="R112" s="2">
        <v>45975</v>
      </c>
      <c r="S112" s="1">
        <v>1</v>
      </c>
      <c r="W112" s="1">
        <f t="shared" si="20"/>
        <v>47</v>
      </c>
      <c r="X112" s="1">
        <f t="shared" si="21"/>
        <v>47</v>
      </c>
      <c r="Y112" s="1">
        <f t="shared" si="22"/>
        <v>0</v>
      </c>
      <c r="Z112" s="1">
        <f t="shared" si="26"/>
        <v>21</v>
      </c>
      <c r="AA112" s="1">
        <f t="shared" si="23"/>
        <v>2</v>
      </c>
      <c r="AB112" s="1">
        <f t="shared" si="27"/>
        <v>16</v>
      </c>
      <c r="AC112" s="1">
        <f t="shared" si="28"/>
        <v>3</v>
      </c>
      <c r="AD112" s="1">
        <f t="shared" si="24"/>
        <v>31</v>
      </c>
      <c r="AE112" s="1">
        <f t="shared" si="29"/>
        <v>30</v>
      </c>
      <c r="AF112" s="1">
        <f t="shared" si="30"/>
        <v>22</v>
      </c>
      <c r="AG112" s="1" t="str">
        <f t="shared" si="31"/>
        <v>STOCK</v>
      </c>
      <c r="AH112" s="1">
        <f t="shared" si="32"/>
        <v>13</v>
      </c>
      <c r="AI112" s="1">
        <f t="shared" si="33"/>
        <v>21</v>
      </c>
      <c r="AJ112" s="1">
        <f t="shared" si="34"/>
        <v>9</v>
      </c>
      <c r="AK112" s="1">
        <f t="shared" si="37"/>
        <v>1</v>
      </c>
      <c r="AL112" s="1">
        <f t="shared" si="35"/>
        <v>10</v>
      </c>
      <c r="AM112" s="1">
        <f t="shared" si="25"/>
        <v>16</v>
      </c>
      <c r="AN112" s="1">
        <f t="shared" si="36"/>
        <v>0</v>
      </c>
    </row>
    <row r="113" spans="1:40" hidden="1" x14ac:dyDescent="0.3">
      <c r="A113" s="1">
        <v>25174</v>
      </c>
      <c r="B113" s="1" t="s">
        <v>123</v>
      </c>
      <c r="C113" s="3" t="s">
        <v>124</v>
      </c>
      <c r="D113" s="4">
        <v>2000</v>
      </c>
      <c r="E113" s="2" t="s">
        <v>137</v>
      </c>
      <c r="F113" s="2">
        <v>45911</v>
      </c>
      <c r="H113" s="2">
        <v>45930</v>
      </c>
      <c r="I113" s="2">
        <v>45912</v>
      </c>
      <c r="J113" s="2">
        <v>45926</v>
      </c>
      <c r="L113" s="2">
        <v>45950</v>
      </c>
      <c r="O113" s="2">
        <v>45953</v>
      </c>
      <c r="P113" s="2">
        <v>45982</v>
      </c>
      <c r="Q113" s="2">
        <v>45982</v>
      </c>
      <c r="R113" s="2">
        <v>45989</v>
      </c>
      <c r="S113" s="1">
        <v>2</v>
      </c>
      <c r="W113" s="1">
        <f t="shared" si="20"/>
        <v>56</v>
      </c>
      <c r="X113" s="1">
        <f t="shared" si="21"/>
        <v>51</v>
      </c>
      <c r="Y113" s="1">
        <f t="shared" si="22"/>
        <v>0</v>
      </c>
      <c r="Z113" s="1" t="str">
        <f t="shared" si="26"/>
        <v>PAS DE DEPART MATIERE</v>
      </c>
      <c r="AA113" s="1" t="str">
        <f t="shared" si="23"/>
        <v>PAS DE COMMANDE MATIERE</v>
      </c>
      <c r="AB113" s="1">
        <f t="shared" si="27"/>
        <v>32806</v>
      </c>
      <c r="AC113" s="1" t="str">
        <f t="shared" si="28"/>
        <v>PAS DE COMMANDE MATIERE</v>
      </c>
      <c r="AD113" s="1">
        <f t="shared" si="24"/>
        <v>30</v>
      </c>
      <c r="AE113" s="1">
        <f t="shared" si="29"/>
        <v>27</v>
      </c>
      <c r="AF113" s="1" t="str">
        <f t="shared" si="30"/>
        <v>PAS DE DATE PAPIER</v>
      </c>
      <c r="AG113" s="1" t="str">
        <f t="shared" si="31"/>
        <v>PAS DE DATE CARTON</v>
      </c>
      <c r="AH113" s="1">
        <f t="shared" si="32"/>
        <v>1</v>
      </c>
      <c r="AI113" s="1">
        <f t="shared" si="33"/>
        <v>11</v>
      </c>
      <c r="AJ113" s="1">
        <f t="shared" si="34"/>
        <v>16</v>
      </c>
      <c r="AK113" s="1">
        <f t="shared" si="37"/>
        <v>3</v>
      </c>
      <c r="AL113" s="1">
        <f t="shared" si="35"/>
        <v>0</v>
      </c>
      <c r="AM113" s="1">
        <f t="shared" si="25"/>
        <v>21</v>
      </c>
      <c r="AN113" s="1" t="str">
        <f t="shared" si="36"/>
        <v>PAS D'IMPRESSION</v>
      </c>
    </row>
    <row r="114" spans="1:40" hidden="1" x14ac:dyDescent="0.3">
      <c r="A114" s="1">
        <v>25175</v>
      </c>
      <c r="B114" s="1" t="s">
        <v>17</v>
      </c>
      <c r="C114" s="3" t="s">
        <v>125</v>
      </c>
      <c r="D114" s="4">
        <v>2000</v>
      </c>
      <c r="E114" s="2" t="s">
        <v>140</v>
      </c>
      <c r="F114" s="2">
        <v>45912</v>
      </c>
      <c r="G114" s="2">
        <v>45915</v>
      </c>
      <c r="H114" s="2">
        <v>45936</v>
      </c>
      <c r="I114" s="2">
        <v>45916</v>
      </c>
      <c r="J114" s="2">
        <v>45946</v>
      </c>
      <c r="L114" s="2">
        <v>45932</v>
      </c>
      <c r="M114" s="2">
        <v>45936</v>
      </c>
      <c r="N114" s="2">
        <v>45954</v>
      </c>
      <c r="O114" s="2">
        <v>45960</v>
      </c>
      <c r="P114" s="2">
        <v>45989</v>
      </c>
      <c r="Q114" s="2">
        <v>45989</v>
      </c>
      <c r="R114" s="2">
        <v>45989</v>
      </c>
      <c r="S114" s="1">
        <v>1</v>
      </c>
      <c r="W114" s="1">
        <f t="shared" si="20"/>
        <v>55</v>
      </c>
      <c r="X114" s="1">
        <f t="shared" si="21"/>
        <v>55</v>
      </c>
      <c r="Y114" s="1">
        <f t="shared" si="22"/>
        <v>0</v>
      </c>
      <c r="Z114" s="1">
        <f t="shared" si="26"/>
        <v>30</v>
      </c>
      <c r="AA114" s="1">
        <f t="shared" si="23"/>
        <v>1</v>
      </c>
      <c r="AB114" s="1">
        <f t="shared" si="27"/>
        <v>15</v>
      </c>
      <c r="AC114" s="1">
        <f t="shared" si="28"/>
        <v>14</v>
      </c>
      <c r="AD114" s="1">
        <f t="shared" si="24"/>
        <v>34</v>
      </c>
      <c r="AE114" s="1">
        <f t="shared" si="29"/>
        <v>14</v>
      </c>
      <c r="AF114" s="1" t="str">
        <f t="shared" si="30"/>
        <v>PAS DE DATE PAPIER</v>
      </c>
      <c r="AG114" s="1">
        <f t="shared" si="31"/>
        <v>16</v>
      </c>
      <c r="AH114" s="1">
        <f t="shared" si="32"/>
        <v>2</v>
      </c>
      <c r="AI114" s="1">
        <f t="shared" si="33"/>
        <v>24</v>
      </c>
      <c r="AJ114" s="1">
        <f t="shared" si="34"/>
        <v>-12</v>
      </c>
      <c r="AK114" s="1">
        <f t="shared" si="37"/>
        <v>20</v>
      </c>
      <c r="AL114" s="1">
        <f t="shared" si="35"/>
        <v>4</v>
      </c>
      <c r="AM114" s="1">
        <f t="shared" si="25"/>
        <v>21</v>
      </c>
      <c r="AN114" s="1">
        <f t="shared" si="36"/>
        <v>0</v>
      </c>
    </row>
    <row r="115" spans="1:40" hidden="1" x14ac:dyDescent="0.3">
      <c r="A115" s="1">
        <v>25176</v>
      </c>
      <c r="B115" s="1" t="s">
        <v>55</v>
      </c>
      <c r="C115" s="3" t="s">
        <v>201</v>
      </c>
      <c r="D115" s="4">
        <v>8300</v>
      </c>
      <c r="E115" s="2" t="s">
        <v>133</v>
      </c>
      <c r="F115" s="2">
        <v>45915</v>
      </c>
      <c r="G115" s="2">
        <v>45917</v>
      </c>
      <c r="H115" s="2">
        <v>45952</v>
      </c>
      <c r="I115" s="2">
        <v>45947</v>
      </c>
      <c r="J115" s="2" t="s">
        <v>206</v>
      </c>
      <c r="K115" s="2">
        <v>45939</v>
      </c>
      <c r="L115" s="2">
        <v>45966</v>
      </c>
      <c r="M115" s="2">
        <v>45936</v>
      </c>
      <c r="N115" s="2">
        <v>45952</v>
      </c>
      <c r="O115" s="2">
        <v>45967</v>
      </c>
      <c r="P115" s="2">
        <v>45989</v>
      </c>
      <c r="Q115" s="2">
        <v>45989</v>
      </c>
      <c r="R115" s="2">
        <v>46010</v>
      </c>
      <c r="S115" s="1">
        <v>4</v>
      </c>
      <c r="W115" s="1">
        <f t="shared" si="20"/>
        <v>69</v>
      </c>
      <c r="X115" s="1">
        <f t="shared" si="21"/>
        <v>54</v>
      </c>
      <c r="Y115" s="1">
        <f t="shared" si="22"/>
        <v>0</v>
      </c>
      <c r="Z115" s="1">
        <f t="shared" si="26"/>
        <v>27</v>
      </c>
      <c r="AA115" s="1">
        <f t="shared" si="23"/>
        <v>2</v>
      </c>
      <c r="AB115" s="1">
        <f t="shared" si="27"/>
        <v>25</v>
      </c>
      <c r="AC115" s="1">
        <f t="shared" si="28"/>
        <v>0</v>
      </c>
      <c r="AD115" s="1">
        <f t="shared" si="24"/>
        <v>38</v>
      </c>
      <c r="AE115" s="1">
        <f t="shared" si="29"/>
        <v>37</v>
      </c>
      <c r="AF115" s="1">
        <f t="shared" si="30"/>
        <v>18</v>
      </c>
      <c r="AG115" s="1">
        <f t="shared" si="31"/>
        <v>15</v>
      </c>
      <c r="AH115" s="1">
        <f t="shared" si="32"/>
        <v>24</v>
      </c>
      <c r="AI115" s="1" t="str">
        <f t="shared" si="33"/>
        <v>ANC MODELE</v>
      </c>
      <c r="AJ115" s="1">
        <f t="shared" si="34"/>
        <v>13</v>
      </c>
      <c r="AK115" s="1">
        <f t="shared" si="37"/>
        <v>1</v>
      </c>
      <c r="AL115" s="1">
        <f t="shared" si="35"/>
        <v>11</v>
      </c>
      <c r="AM115" s="1">
        <f t="shared" si="25"/>
        <v>16</v>
      </c>
      <c r="AN115" s="1">
        <f t="shared" si="36"/>
        <v>15</v>
      </c>
    </row>
    <row r="116" spans="1:40" hidden="1" x14ac:dyDescent="0.3">
      <c r="A116" s="1">
        <v>25177</v>
      </c>
      <c r="B116" s="1" t="s">
        <v>17</v>
      </c>
      <c r="C116" s="3" t="s">
        <v>202</v>
      </c>
      <c r="D116" s="4">
        <v>10000</v>
      </c>
      <c r="E116" s="2" t="s">
        <v>134</v>
      </c>
      <c r="F116" s="2">
        <v>45916</v>
      </c>
      <c r="G116" s="2">
        <v>45918</v>
      </c>
      <c r="H116" s="2">
        <v>45975</v>
      </c>
      <c r="I116" s="2">
        <v>46301</v>
      </c>
      <c r="J116" s="2" t="s">
        <v>206</v>
      </c>
      <c r="L116" s="2">
        <v>46062</v>
      </c>
      <c r="M116" s="2">
        <v>46062</v>
      </c>
      <c r="N116" s="2">
        <v>46038</v>
      </c>
      <c r="O116" s="2">
        <v>46065</v>
      </c>
      <c r="P116" s="2">
        <v>46031</v>
      </c>
      <c r="Q116" s="2">
        <v>46031</v>
      </c>
      <c r="R116" s="2">
        <v>46059</v>
      </c>
      <c r="S116" s="1">
        <v>8</v>
      </c>
      <c r="T116" s="3" t="s">
        <v>364</v>
      </c>
      <c r="W116" s="1">
        <f t="shared" si="20"/>
        <v>103</v>
      </c>
      <c r="X116" s="1">
        <f t="shared" si="21"/>
        <v>83</v>
      </c>
      <c r="Y116" s="1">
        <f t="shared" si="22"/>
        <v>0</v>
      </c>
      <c r="Z116" s="1">
        <f t="shared" si="26"/>
        <v>88</v>
      </c>
      <c r="AA116" s="1">
        <f t="shared" si="23"/>
        <v>2</v>
      </c>
      <c r="AB116" s="1">
        <f t="shared" si="27"/>
        <v>41</v>
      </c>
      <c r="AC116" s="1">
        <f t="shared" si="28"/>
        <v>45</v>
      </c>
      <c r="AD116" s="1">
        <f t="shared" si="24"/>
        <v>107</v>
      </c>
      <c r="AE116" s="1">
        <f t="shared" si="29"/>
        <v>104</v>
      </c>
      <c r="AF116" s="1" t="str">
        <f t="shared" si="30"/>
        <v>PAS DE DATE PAPIER</v>
      </c>
      <c r="AG116" s="1">
        <f t="shared" si="31"/>
        <v>104</v>
      </c>
      <c r="AH116" s="1">
        <f t="shared" si="32"/>
        <v>275</v>
      </c>
      <c r="AI116" s="1" t="str">
        <f t="shared" si="33"/>
        <v>ANC MODELE</v>
      </c>
      <c r="AJ116" s="1">
        <f t="shared" si="34"/>
        <v>-173</v>
      </c>
      <c r="AK116" s="1">
        <f t="shared" si="37"/>
        <v>3</v>
      </c>
      <c r="AL116" s="1">
        <f t="shared" si="35"/>
        <v>19</v>
      </c>
      <c r="AM116" s="1">
        <f t="shared" si="25"/>
        <v>-26</v>
      </c>
      <c r="AN116" s="1">
        <f t="shared" si="36"/>
        <v>20</v>
      </c>
    </row>
    <row r="117" spans="1:40" hidden="1" x14ac:dyDescent="0.3">
      <c r="A117" s="1">
        <v>25178</v>
      </c>
      <c r="B117" s="1" t="s">
        <v>34</v>
      </c>
      <c r="C117" s="3" t="s">
        <v>207</v>
      </c>
      <c r="D117" s="4">
        <v>1000</v>
      </c>
      <c r="E117" s="2" t="s">
        <v>136</v>
      </c>
      <c r="F117" s="2">
        <v>45917</v>
      </c>
      <c r="G117" s="2">
        <v>45918</v>
      </c>
      <c r="H117" s="2">
        <v>45929</v>
      </c>
      <c r="I117" s="2">
        <v>45918</v>
      </c>
      <c r="J117" s="2" t="s">
        <v>315</v>
      </c>
      <c r="L117" s="2">
        <v>45936</v>
      </c>
      <c r="M117" s="2">
        <v>45937</v>
      </c>
      <c r="N117" s="2">
        <v>45939</v>
      </c>
      <c r="O117" s="2">
        <v>45946</v>
      </c>
      <c r="P117" s="2">
        <v>45982</v>
      </c>
      <c r="Q117" s="2">
        <v>45982</v>
      </c>
      <c r="R117" s="2">
        <v>45982</v>
      </c>
      <c r="S117" s="1">
        <v>1</v>
      </c>
      <c r="W117" s="1">
        <f t="shared" si="20"/>
        <v>47</v>
      </c>
      <c r="X117" s="1">
        <f t="shared" si="21"/>
        <v>47</v>
      </c>
      <c r="Y117" s="1">
        <f t="shared" si="22"/>
        <v>0</v>
      </c>
      <c r="Z117" s="1">
        <f t="shared" si="26"/>
        <v>16</v>
      </c>
      <c r="AA117" s="1">
        <f t="shared" si="23"/>
        <v>1</v>
      </c>
      <c r="AB117" s="1">
        <f t="shared" si="27"/>
        <v>7</v>
      </c>
      <c r="AC117" s="1">
        <f t="shared" si="28"/>
        <v>8</v>
      </c>
      <c r="AD117" s="1">
        <f t="shared" si="24"/>
        <v>21</v>
      </c>
      <c r="AE117" s="1">
        <f t="shared" si="29"/>
        <v>13</v>
      </c>
      <c r="AF117" s="1" t="str">
        <f t="shared" si="30"/>
        <v>PAS DE DATE PAPIER</v>
      </c>
      <c r="AG117" s="1">
        <f t="shared" si="31"/>
        <v>14</v>
      </c>
      <c r="AH117" s="1">
        <f t="shared" si="32"/>
        <v>1</v>
      </c>
      <c r="AI117" s="1" t="str">
        <f t="shared" si="33"/>
        <v>ANC FAB</v>
      </c>
      <c r="AJ117" s="1">
        <f t="shared" si="34"/>
        <v>12</v>
      </c>
      <c r="AK117" s="1">
        <f t="shared" si="37"/>
        <v>8</v>
      </c>
      <c r="AL117" s="1">
        <f t="shared" si="35"/>
        <v>5</v>
      </c>
      <c r="AM117" s="1">
        <f t="shared" si="25"/>
        <v>26</v>
      </c>
      <c r="AN117" s="1">
        <f t="shared" si="36"/>
        <v>0</v>
      </c>
    </row>
    <row r="118" spans="1:40" hidden="1" x14ac:dyDescent="0.3">
      <c r="A118" s="1">
        <v>25179</v>
      </c>
      <c r="B118" s="1" t="s">
        <v>62</v>
      </c>
      <c r="C118" s="3" t="s">
        <v>208</v>
      </c>
      <c r="D118" s="4">
        <v>2000</v>
      </c>
      <c r="E118" s="2" t="s">
        <v>191</v>
      </c>
      <c r="F118" s="2">
        <v>45918</v>
      </c>
      <c r="G118" s="2">
        <v>45918</v>
      </c>
      <c r="H118" s="2">
        <v>45936</v>
      </c>
      <c r="I118" s="2">
        <v>45925</v>
      </c>
      <c r="J118" s="2" t="s">
        <v>315</v>
      </c>
      <c r="L118" s="2">
        <v>45936</v>
      </c>
      <c r="M118" s="2">
        <v>45937</v>
      </c>
      <c r="N118" s="2">
        <v>45947</v>
      </c>
      <c r="O118" s="2">
        <v>45946</v>
      </c>
      <c r="P118" s="2">
        <v>45982</v>
      </c>
      <c r="Q118" s="2">
        <v>45982</v>
      </c>
      <c r="R118" s="2">
        <v>45982</v>
      </c>
      <c r="S118" s="1">
        <v>1</v>
      </c>
      <c r="W118" s="1">
        <f t="shared" si="20"/>
        <v>46</v>
      </c>
      <c r="X118" s="1">
        <f t="shared" si="21"/>
        <v>46</v>
      </c>
      <c r="Y118" s="1">
        <f t="shared" si="22"/>
        <v>0</v>
      </c>
      <c r="Z118" s="1">
        <f t="shared" si="26"/>
        <v>21</v>
      </c>
      <c r="AA118" s="1">
        <f t="shared" si="23"/>
        <v>0</v>
      </c>
      <c r="AB118" s="1">
        <f t="shared" si="27"/>
        <v>12</v>
      </c>
      <c r="AC118" s="1">
        <f t="shared" si="28"/>
        <v>9</v>
      </c>
      <c r="AD118" s="1">
        <f t="shared" si="24"/>
        <v>20</v>
      </c>
      <c r="AE118" s="1">
        <f t="shared" si="29"/>
        <v>12</v>
      </c>
      <c r="AF118" s="1" t="str">
        <f t="shared" si="30"/>
        <v>PAS DE DATE PAPIER</v>
      </c>
      <c r="AG118" s="1">
        <f t="shared" si="31"/>
        <v>13</v>
      </c>
      <c r="AH118" s="1">
        <f t="shared" si="32"/>
        <v>5</v>
      </c>
      <c r="AI118" s="1" t="str">
        <f t="shared" si="33"/>
        <v>ANC FAB</v>
      </c>
      <c r="AJ118" s="1">
        <f t="shared" si="34"/>
        <v>7</v>
      </c>
      <c r="AK118" s="1">
        <f t="shared" si="37"/>
        <v>8</v>
      </c>
      <c r="AL118" s="1">
        <f t="shared" si="35"/>
        <v>1</v>
      </c>
      <c r="AM118" s="1">
        <f t="shared" si="25"/>
        <v>25</v>
      </c>
      <c r="AN118" s="1">
        <f t="shared" si="36"/>
        <v>0</v>
      </c>
    </row>
    <row r="119" spans="1:40" hidden="1" x14ac:dyDescent="0.3">
      <c r="A119" s="1">
        <v>25180</v>
      </c>
      <c r="B119" s="1" t="s">
        <v>17</v>
      </c>
      <c r="C119" s="3" t="s">
        <v>209</v>
      </c>
      <c r="D119" s="4">
        <v>3000</v>
      </c>
      <c r="E119" s="2" t="s">
        <v>149</v>
      </c>
      <c r="F119" s="2">
        <v>45924</v>
      </c>
      <c r="G119" s="2">
        <v>45925</v>
      </c>
      <c r="H119" s="2">
        <v>45975</v>
      </c>
      <c r="I119" s="2">
        <v>45992</v>
      </c>
      <c r="J119" s="2" t="s">
        <v>315</v>
      </c>
      <c r="L119" s="2">
        <v>46002</v>
      </c>
      <c r="M119" s="2">
        <v>45967</v>
      </c>
      <c r="N119" s="2">
        <v>46014</v>
      </c>
      <c r="O119" s="2">
        <v>46010</v>
      </c>
      <c r="P119" s="2">
        <v>46045</v>
      </c>
      <c r="Q119" s="2">
        <v>46052</v>
      </c>
      <c r="R119" s="2">
        <v>46059</v>
      </c>
      <c r="S119" s="4">
        <v>2</v>
      </c>
      <c r="W119" s="1">
        <f t="shared" si="20"/>
        <v>97</v>
      </c>
      <c r="X119" s="1">
        <f t="shared" si="21"/>
        <v>92</v>
      </c>
      <c r="Y119" s="1">
        <f t="shared" si="22"/>
        <v>5</v>
      </c>
      <c r="Z119" s="1">
        <f t="shared" si="26"/>
        <v>64</v>
      </c>
      <c r="AA119" s="1">
        <f t="shared" si="23"/>
        <v>1</v>
      </c>
      <c r="AB119" s="1">
        <f t="shared" si="27"/>
        <v>36</v>
      </c>
      <c r="AC119" s="1">
        <f t="shared" si="28"/>
        <v>27</v>
      </c>
      <c r="AD119" s="1">
        <f t="shared" si="24"/>
        <v>62</v>
      </c>
      <c r="AE119" s="1">
        <f t="shared" si="29"/>
        <v>56</v>
      </c>
      <c r="AF119" s="1" t="str">
        <f t="shared" si="30"/>
        <v>PAS DE DATE PAPIER</v>
      </c>
      <c r="AG119" s="1">
        <f t="shared" si="31"/>
        <v>31</v>
      </c>
      <c r="AH119" s="1">
        <f t="shared" si="32"/>
        <v>48</v>
      </c>
      <c r="AI119" s="1" t="str">
        <f t="shared" si="33"/>
        <v>ANC FAB</v>
      </c>
      <c r="AJ119" s="1">
        <f t="shared" si="34"/>
        <v>8</v>
      </c>
      <c r="AK119" s="1">
        <f t="shared" si="37"/>
        <v>6</v>
      </c>
      <c r="AL119" s="1">
        <f t="shared" si="35"/>
        <v>2</v>
      </c>
      <c r="AM119" s="1">
        <f t="shared" si="25"/>
        <v>28</v>
      </c>
      <c r="AN119" s="1">
        <f t="shared" si="36"/>
        <v>5</v>
      </c>
    </row>
    <row r="120" spans="1:40" hidden="1" x14ac:dyDescent="0.3">
      <c r="A120" s="1">
        <v>25181</v>
      </c>
      <c r="B120" s="1" t="s">
        <v>9</v>
      </c>
      <c r="C120" s="3" t="s">
        <v>210</v>
      </c>
      <c r="D120" s="4">
        <v>1000</v>
      </c>
      <c r="E120" s="2" t="s">
        <v>136</v>
      </c>
      <c r="F120" s="2">
        <v>45924</v>
      </c>
      <c r="G120" s="2">
        <v>45925</v>
      </c>
      <c r="H120" s="2">
        <v>45939</v>
      </c>
      <c r="I120" s="2">
        <v>45936</v>
      </c>
      <c r="J120" s="2" t="s">
        <v>315</v>
      </c>
      <c r="L120" s="2">
        <v>45959</v>
      </c>
      <c r="M120" s="2">
        <v>45966</v>
      </c>
      <c r="N120" s="2">
        <v>45947</v>
      </c>
      <c r="O120" s="2">
        <v>45967</v>
      </c>
      <c r="P120" s="2">
        <v>45989</v>
      </c>
      <c r="Q120" s="2">
        <v>45989</v>
      </c>
      <c r="R120" s="2">
        <v>45989</v>
      </c>
      <c r="S120" s="1">
        <v>1</v>
      </c>
      <c r="W120" s="1">
        <f t="shared" si="20"/>
        <v>47</v>
      </c>
      <c r="X120" s="1">
        <f t="shared" si="21"/>
        <v>47</v>
      </c>
      <c r="Y120" s="1">
        <f t="shared" si="22"/>
        <v>0</v>
      </c>
      <c r="Z120" s="1">
        <f t="shared" si="26"/>
        <v>17</v>
      </c>
      <c r="AA120" s="1">
        <f t="shared" si="23"/>
        <v>1</v>
      </c>
      <c r="AB120" s="1">
        <f t="shared" si="27"/>
        <v>10</v>
      </c>
      <c r="AC120" s="1">
        <f t="shared" si="28"/>
        <v>6</v>
      </c>
      <c r="AD120" s="1">
        <f t="shared" si="24"/>
        <v>31</v>
      </c>
      <c r="AE120" s="1">
        <f t="shared" si="29"/>
        <v>25</v>
      </c>
      <c r="AF120" s="1" t="str">
        <f t="shared" si="30"/>
        <v>PAS DE DATE PAPIER</v>
      </c>
      <c r="AG120" s="1">
        <f t="shared" si="31"/>
        <v>30</v>
      </c>
      <c r="AH120" s="1">
        <f t="shared" si="32"/>
        <v>8</v>
      </c>
      <c r="AI120" s="1" t="str">
        <f t="shared" si="33"/>
        <v>ANC FAB</v>
      </c>
      <c r="AJ120" s="1">
        <f t="shared" si="34"/>
        <v>17</v>
      </c>
      <c r="AK120" s="1">
        <f t="shared" si="37"/>
        <v>6</v>
      </c>
      <c r="AL120" s="1">
        <f t="shared" si="35"/>
        <v>14</v>
      </c>
      <c r="AM120" s="1">
        <f t="shared" si="25"/>
        <v>16</v>
      </c>
      <c r="AN120" s="1">
        <f t="shared" si="36"/>
        <v>0</v>
      </c>
    </row>
    <row r="121" spans="1:40" hidden="1" x14ac:dyDescent="0.3">
      <c r="A121" s="1">
        <v>25182</v>
      </c>
      <c r="B121" s="1" t="s">
        <v>60</v>
      </c>
      <c r="C121" s="3" t="s">
        <v>211</v>
      </c>
      <c r="D121" s="4">
        <v>1000</v>
      </c>
      <c r="E121" s="2" t="s">
        <v>135</v>
      </c>
      <c r="F121" s="2">
        <v>45924</v>
      </c>
      <c r="G121" s="2">
        <v>45925</v>
      </c>
      <c r="H121" s="2">
        <v>45939</v>
      </c>
      <c r="I121" s="2">
        <v>45925</v>
      </c>
      <c r="J121" s="2">
        <v>45939</v>
      </c>
      <c r="K121" s="2">
        <v>45926</v>
      </c>
      <c r="L121" s="2">
        <v>45950</v>
      </c>
      <c r="M121" s="2" t="s">
        <v>199</v>
      </c>
      <c r="N121" s="2">
        <v>45947</v>
      </c>
      <c r="O121" s="2">
        <v>45953</v>
      </c>
      <c r="P121" s="2">
        <v>45975</v>
      </c>
      <c r="Q121" s="2">
        <v>45975</v>
      </c>
      <c r="R121" s="2">
        <v>45975</v>
      </c>
      <c r="S121" s="1">
        <v>1</v>
      </c>
      <c r="W121" s="1">
        <f t="shared" si="20"/>
        <v>37</v>
      </c>
      <c r="X121" s="1">
        <f t="shared" si="21"/>
        <v>37</v>
      </c>
      <c r="Y121" s="1">
        <f t="shared" si="22"/>
        <v>0</v>
      </c>
      <c r="Z121" s="1">
        <f t="shared" si="26"/>
        <v>17</v>
      </c>
      <c r="AA121" s="1">
        <f t="shared" si="23"/>
        <v>1</v>
      </c>
      <c r="AB121" s="1">
        <f t="shared" si="27"/>
        <v>10</v>
      </c>
      <c r="AC121" s="1">
        <f t="shared" si="28"/>
        <v>6</v>
      </c>
      <c r="AD121" s="1">
        <f t="shared" si="24"/>
        <v>21</v>
      </c>
      <c r="AE121" s="1">
        <f t="shared" si="29"/>
        <v>18</v>
      </c>
      <c r="AF121" s="1">
        <f t="shared" si="30"/>
        <v>2</v>
      </c>
      <c r="AG121" s="1" t="str">
        <f t="shared" si="31"/>
        <v>STOCK</v>
      </c>
      <c r="AH121" s="1">
        <f t="shared" si="32"/>
        <v>1</v>
      </c>
      <c r="AI121" s="1">
        <f t="shared" si="33"/>
        <v>11</v>
      </c>
      <c r="AJ121" s="1">
        <f t="shared" si="34"/>
        <v>7</v>
      </c>
      <c r="AK121" s="1">
        <f t="shared" si="37"/>
        <v>3</v>
      </c>
      <c r="AL121" s="1">
        <f t="shared" si="35"/>
        <v>4</v>
      </c>
      <c r="AM121" s="1">
        <f t="shared" si="25"/>
        <v>16</v>
      </c>
      <c r="AN121" s="1">
        <f t="shared" si="36"/>
        <v>0</v>
      </c>
    </row>
    <row r="122" spans="1:40" hidden="1" x14ac:dyDescent="0.3">
      <c r="A122" s="1">
        <v>25183</v>
      </c>
      <c r="B122" s="1" t="s">
        <v>212</v>
      </c>
      <c r="C122" s="3" t="s">
        <v>213</v>
      </c>
      <c r="D122" s="4">
        <v>350</v>
      </c>
      <c r="E122" s="2" t="s">
        <v>156</v>
      </c>
      <c r="F122" s="2">
        <v>45924</v>
      </c>
      <c r="G122" s="2">
        <v>45929</v>
      </c>
      <c r="H122" s="2">
        <v>45967</v>
      </c>
      <c r="I122" s="2">
        <v>45979</v>
      </c>
      <c r="J122" s="2">
        <v>45979</v>
      </c>
      <c r="L122" s="2">
        <v>45995</v>
      </c>
      <c r="M122" s="2">
        <v>45967</v>
      </c>
      <c r="N122" s="2">
        <v>46010</v>
      </c>
      <c r="O122" s="2">
        <v>45995</v>
      </c>
      <c r="P122" s="2">
        <v>46024</v>
      </c>
      <c r="Q122" s="2">
        <v>46031</v>
      </c>
      <c r="R122" s="2">
        <v>46031</v>
      </c>
      <c r="S122" s="1">
        <v>1</v>
      </c>
      <c r="W122" s="1">
        <f t="shared" si="20"/>
        <v>77</v>
      </c>
      <c r="X122" s="1">
        <f t="shared" si="21"/>
        <v>77</v>
      </c>
      <c r="Y122" s="1">
        <f t="shared" si="22"/>
        <v>5</v>
      </c>
      <c r="Z122" s="1">
        <f t="shared" si="26"/>
        <v>62</v>
      </c>
      <c r="AA122" s="1">
        <f t="shared" si="23"/>
        <v>3</v>
      </c>
      <c r="AB122" s="1">
        <f t="shared" si="27"/>
        <v>28</v>
      </c>
      <c r="AC122" s="1">
        <f t="shared" si="28"/>
        <v>31</v>
      </c>
      <c r="AD122" s="1">
        <f t="shared" si="24"/>
        <v>51</v>
      </c>
      <c r="AE122" s="1">
        <f t="shared" si="29"/>
        <v>51</v>
      </c>
      <c r="AF122" s="1" t="str">
        <f t="shared" si="30"/>
        <v>PAS DE DATE PAPIER</v>
      </c>
      <c r="AG122" s="1">
        <f t="shared" si="31"/>
        <v>31</v>
      </c>
      <c r="AH122" s="1">
        <f t="shared" si="32"/>
        <v>39</v>
      </c>
      <c r="AI122" s="1">
        <f t="shared" si="33"/>
        <v>39</v>
      </c>
      <c r="AJ122" s="1">
        <f t="shared" si="34"/>
        <v>12</v>
      </c>
      <c r="AK122" s="1">
        <f t="shared" si="37"/>
        <v>0</v>
      </c>
      <c r="AL122" s="1">
        <f t="shared" si="35"/>
        <v>11</v>
      </c>
      <c r="AM122" s="1">
        <f t="shared" si="25"/>
        <v>15</v>
      </c>
      <c r="AN122" s="1">
        <f t="shared" si="36"/>
        <v>0</v>
      </c>
    </row>
    <row r="123" spans="1:40" hidden="1" x14ac:dyDescent="0.3">
      <c r="A123" s="1">
        <v>25184</v>
      </c>
      <c r="B123" s="1" t="s">
        <v>212</v>
      </c>
      <c r="C123" s="3" t="s">
        <v>214</v>
      </c>
      <c r="D123" s="4">
        <v>350</v>
      </c>
      <c r="E123" s="2" t="s">
        <v>156</v>
      </c>
      <c r="F123" s="2">
        <v>45924</v>
      </c>
      <c r="G123" s="2">
        <v>45930</v>
      </c>
      <c r="H123" s="2">
        <v>45959</v>
      </c>
      <c r="I123" s="2">
        <v>45979</v>
      </c>
      <c r="J123" s="2">
        <v>45979</v>
      </c>
      <c r="L123" s="2">
        <v>45995</v>
      </c>
      <c r="M123" s="2">
        <v>45967</v>
      </c>
      <c r="N123" s="2">
        <v>46053</v>
      </c>
      <c r="O123" s="2">
        <v>45995</v>
      </c>
      <c r="P123" s="2">
        <v>46024</v>
      </c>
      <c r="Q123" s="2">
        <v>46038</v>
      </c>
      <c r="R123" s="2">
        <v>46038</v>
      </c>
      <c r="S123" s="1">
        <v>1</v>
      </c>
      <c r="W123" s="1">
        <f t="shared" si="20"/>
        <v>82</v>
      </c>
      <c r="X123" s="1">
        <f t="shared" si="21"/>
        <v>82</v>
      </c>
      <c r="Y123" s="1">
        <f t="shared" si="22"/>
        <v>10</v>
      </c>
      <c r="Z123" s="1">
        <f t="shared" si="26"/>
        <v>92</v>
      </c>
      <c r="AA123" s="1">
        <f t="shared" si="23"/>
        <v>4</v>
      </c>
      <c r="AB123" s="1">
        <f t="shared" si="27"/>
        <v>21</v>
      </c>
      <c r="AC123" s="1">
        <f t="shared" si="28"/>
        <v>67</v>
      </c>
      <c r="AD123" s="1">
        <f t="shared" si="24"/>
        <v>51</v>
      </c>
      <c r="AE123" s="1">
        <f t="shared" si="29"/>
        <v>51</v>
      </c>
      <c r="AF123" s="1" t="str">
        <f t="shared" si="30"/>
        <v>PAS DE DATE PAPIER</v>
      </c>
      <c r="AG123" s="1">
        <f t="shared" si="31"/>
        <v>31</v>
      </c>
      <c r="AH123" s="1">
        <f t="shared" si="32"/>
        <v>39</v>
      </c>
      <c r="AI123" s="1">
        <f t="shared" si="33"/>
        <v>39</v>
      </c>
      <c r="AJ123" s="1">
        <f t="shared" si="34"/>
        <v>12</v>
      </c>
      <c r="AK123" s="1">
        <f t="shared" si="37"/>
        <v>0</v>
      </c>
      <c r="AL123" s="1">
        <f t="shared" si="35"/>
        <v>41</v>
      </c>
      <c r="AM123" s="1">
        <f t="shared" si="25"/>
        <v>-12</v>
      </c>
      <c r="AN123" s="1">
        <f t="shared" si="36"/>
        <v>0</v>
      </c>
    </row>
    <row r="124" spans="1:40" hidden="1" x14ac:dyDescent="0.3">
      <c r="A124" s="1">
        <v>25185</v>
      </c>
      <c r="B124" s="1" t="s">
        <v>212</v>
      </c>
      <c r="C124" s="3" t="s">
        <v>215</v>
      </c>
      <c r="D124" s="4" t="s">
        <v>216</v>
      </c>
      <c r="E124" s="2" t="s">
        <v>156</v>
      </c>
      <c r="F124" s="2">
        <v>45924</v>
      </c>
      <c r="G124" s="2">
        <v>45930</v>
      </c>
      <c r="H124" s="2">
        <v>45959</v>
      </c>
      <c r="I124" s="2">
        <v>45979</v>
      </c>
      <c r="J124" s="2">
        <v>45979</v>
      </c>
      <c r="L124" s="2">
        <v>45995</v>
      </c>
      <c r="M124" s="2">
        <v>45967</v>
      </c>
      <c r="N124" s="2">
        <v>45982</v>
      </c>
      <c r="O124" s="2">
        <v>45995</v>
      </c>
      <c r="P124" s="2">
        <v>46031</v>
      </c>
      <c r="Q124" s="2">
        <v>46031</v>
      </c>
      <c r="R124" s="2">
        <v>46031</v>
      </c>
      <c r="S124" s="1">
        <v>1</v>
      </c>
      <c r="W124" s="1">
        <f t="shared" si="20"/>
        <v>77</v>
      </c>
      <c r="X124" s="1">
        <f t="shared" si="21"/>
        <v>77</v>
      </c>
      <c r="Y124" s="1">
        <f t="shared" si="22"/>
        <v>0</v>
      </c>
      <c r="Z124" s="1">
        <f t="shared" si="26"/>
        <v>42</v>
      </c>
      <c r="AA124" s="1">
        <f t="shared" si="23"/>
        <v>4</v>
      </c>
      <c r="AB124" s="1">
        <f t="shared" si="27"/>
        <v>21</v>
      </c>
      <c r="AC124" s="1">
        <f t="shared" si="28"/>
        <v>17</v>
      </c>
      <c r="AD124" s="1">
        <f t="shared" si="24"/>
        <v>51</v>
      </c>
      <c r="AE124" s="1">
        <f t="shared" si="29"/>
        <v>51</v>
      </c>
      <c r="AF124" s="1" t="str">
        <f t="shared" si="30"/>
        <v>PAS DE DATE PAPIER</v>
      </c>
      <c r="AG124" s="1">
        <f t="shared" si="31"/>
        <v>31</v>
      </c>
      <c r="AH124" s="1">
        <f t="shared" si="32"/>
        <v>39</v>
      </c>
      <c r="AI124" s="1">
        <f t="shared" si="33"/>
        <v>39</v>
      </c>
      <c r="AJ124" s="1">
        <f t="shared" si="34"/>
        <v>12</v>
      </c>
      <c r="AK124" s="1">
        <f t="shared" si="37"/>
        <v>0</v>
      </c>
      <c r="AL124" s="1">
        <f t="shared" si="35"/>
        <v>9</v>
      </c>
      <c r="AM124" s="1">
        <f t="shared" si="25"/>
        <v>26</v>
      </c>
      <c r="AN124" s="1">
        <f t="shared" si="36"/>
        <v>0</v>
      </c>
    </row>
    <row r="125" spans="1:40" hidden="1" x14ac:dyDescent="0.3">
      <c r="A125" s="1">
        <v>25186</v>
      </c>
      <c r="B125" s="1" t="s">
        <v>217</v>
      </c>
      <c r="C125" s="3" t="s">
        <v>218</v>
      </c>
      <c r="D125" s="4">
        <v>7700</v>
      </c>
      <c r="E125" s="2" t="s">
        <v>219</v>
      </c>
      <c r="F125" s="2">
        <v>45930</v>
      </c>
      <c r="G125" s="2">
        <v>45937</v>
      </c>
      <c r="H125" s="2">
        <v>45951</v>
      </c>
      <c r="I125" s="2">
        <v>45985</v>
      </c>
      <c r="J125" s="2">
        <v>46003</v>
      </c>
      <c r="K125" s="2">
        <v>45950</v>
      </c>
      <c r="L125" s="2">
        <v>46009</v>
      </c>
      <c r="N125" s="2">
        <v>45961</v>
      </c>
      <c r="O125" s="2">
        <v>46015</v>
      </c>
      <c r="P125" s="2">
        <v>46045</v>
      </c>
      <c r="Q125" s="2">
        <v>46073</v>
      </c>
      <c r="R125" s="2">
        <v>46108</v>
      </c>
      <c r="S125" s="1">
        <v>4</v>
      </c>
      <c r="W125" s="1">
        <f t="shared" si="20"/>
        <v>128</v>
      </c>
      <c r="X125" s="1">
        <f t="shared" si="21"/>
        <v>103</v>
      </c>
      <c r="Y125" s="1">
        <f t="shared" si="22"/>
        <v>20</v>
      </c>
      <c r="Z125" s="1">
        <f t="shared" si="26"/>
        <v>23</v>
      </c>
      <c r="AA125" s="1">
        <f t="shared" si="23"/>
        <v>5</v>
      </c>
      <c r="AB125" s="1">
        <f t="shared" si="27"/>
        <v>10</v>
      </c>
      <c r="AC125" s="1">
        <f t="shared" si="28"/>
        <v>8</v>
      </c>
      <c r="AD125" s="1">
        <f t="shared" si="24"/>
        <v>61</v>
      </c>
      <c r="AE125" s="1">
        <f t="shared" si="29"/>
        <v>57</v>
      </c>
      <c r="AF125" s="1">
        <f t="shared" si="30"/>
        <v>14</v>
      </c>
      <c r="AG125" s="1" t="str">
        <f t="shared" si="31"/>
        <v>PAS DE DATE CARTON</v>
      </c>
      <c r="AH125" s="1">
        <f t="shared" si="32"/>
        <v>39</v>
      </c>
      <c r="AI125" s="1">
        <f t="shared" si="33"/>
        <v>53</v>
      </c>
      <c r="AJ125" s="1">
        <f t="shared" si="34"/>
        <v>4</v>
      </c>
      <c r="AK125" s="1">
        <f t="shared" si="37"/>
        <v>4</v>
      </c>
      <c r="AL125" s="1">
        <f t="shared" si="35"/>
        <v>38</v>
      </c>
      <c r="AM125" s="1">
        <f t="shared" si="25"/>
        <v>42</v>
      </c>
      <c r="AN125" s="1">
        <f t="shared" si="36"/>
        <v>25</v>
      </c>
    </row>
    <row r="126" spans="1:40" hidden="1" x14ac:dyDescent="0.3">
      <c r="A126" s="1">
        <v>25187</v>
      </c>
      <c r="B126" s="1" t="s">
        <v>220</v>
      </c>
      <c r="C126" s="3" t="s">
        <v>179</v>
      </c>
      <c r="D126" s="4">
        <v>110</v>
      </c>
      <c r="E126" s="2" t="s">
        <v>179</v>
      </c>
      <c r="F126" s="2">
        <v>45931</v>
      </c>
      <c r="H126" s="2">
        <v>45968</v>
      </c>
      <c r="I126" s="2">
        <v>45952</v>
      </c>
      <c r="J126" s="2" t="s">
        <v>315</v>
      </c>
      <c r="L126" s="2">
        <v>45966</v>
      </c>
      <c r="M126" s="2" t="s">
        <v>199</v>
      </c>
      <c r="N126" s="2">
        <v>45982</v>
      </c>
      <c r="O126" s="2">
        <v>45975</v>
      </c>
      <c r="P126" s="2">
        <v>46003</v>
      </c>
      <c r="Q126" s="2">
        <v>46003</v>
      </c>
      <c r="R126" s="2">
        <v>46003</v>
      </c>
      <c r="S126" s="1">
        <v>1</v>
      </c>
      <c r="W126" s="1">
        <f t="shared" si="20"/>
        <v>52</v>
      </c>
      <c r="X126" s="1">
        <f t="shared" si="21"/>
        <v>52</v>
      </c>
      <c r="Y126" s="1">
        <f t="shared" si="22"/>
        <v>0</v>
      </c>
      <c r="Z126" s="1">
        <f t="shared" si="26"/>
        <v>37</v>
      </c>
      <c r="AA126" s="1" t="str">
        <f t="shared" si="23"/>
        <v>PAS DE COMMANDE MATIERE</v>
      </c>
      <c r="AB126" s="1">
        <f t="shared" si="27"/>
        <v>32834</v>
      </c>
      <c r="AC126" s="1">
        <f t="shared" si="28"/>
        <v>10</v>
      </c>
      <c r="AD126" s="1">
        <f t="shared" si="24"/>
        <v>32</v>
      </c>
      <c r="AE126" s="1">
        <f t="shared" si="29"/>
        <v>25</v>
      </c>
      <c r="AF126" s="1" t="str">
        <f t="shared" si="30"/>
        <v>PAS DE DATE PAPIER</v>
      </c>
      <c r="AG126" s="1" t="str">
        <f t="shared" si="31"/>
        <v>STOCK</v>
      </c>
      <c r="AH126" s="1">
        <f t="shared" si="32"/>
        <v>15</v>
      </c>
      <c r="AI126" s="1" t="str">
        <f t="shared" si="33"/>
        <v>ANC FAB</v>
      </c>
      <c r="AJ126" s="1">
        <f t="shared" si="34"/>
        <v>10</v>
      </c>
      <c r="AK126" s="1">
        <f t="shared" si="37"/>
        <v>7</v>
      </c>
      <c r="AL126" s="1">
        <f t="shared" si="35"/>
        <v>5</v>
      </c>
      <c r="AM126" s="1">
        <f t="shared" si="25"/>
        <v>15</v>
      </c>
      <c r="AN126" s="1">
        <f t="shared" si="36"/>
        <v>0</v>
      </c>
    </row>
    <row r="127" spans="1:40" hidden="1" x14ac:dyDescent="0.3">
      <c r="A127" s="1">
        <v>25188</v>
      </c>
      <c r="B127" s="1" t="s">
        <v>107</v>
      </c>
      <c r="C127" s="3" t="s">
        <v>221</v>
      </c>
      <c r="D127" s="4">
        <v>1800</v>
      </c>
      <c r="E127" s="2" t="s">
        <v>222</v>
      </c>
      <c r="F127" s="2">
        <v>45931</v>
      </c>
      <c r="G127" s="2">
        <v>45952</v>
      </c>
      <c r="I127" s="2">
        <v>46009</v>
      </c>
      <c r="J127" s="2">
        <v>46003</v>
      </c>
      <c r="L127" s="2">
        <v>46009</v>
      </c>
      <c r="M127" s="2">
        <v>45994</v>
      </c>
      <c r="W127" s="1" t="str">
        <f t="shared" ref="W127:W190" si="38">IF($R127="","NON LIVRE",NETWORKDAYS($F127,$R127)-1)</f>
        <v>NON LIVRE</v>
      </c>
      <c r="X127" s="1" t="str">
        <f t="shared" ref="X127:X190" si="39">IF($Q127="","NON LIVRE",NETWORKDAYS($F127,$Q127)-1)</f>
        <v>NON LIVRE</v>
      </c>
      <c r="Y127" s="1" t="str">
        <f t="shared" ref="Y127:Y190" si="40">IF($Q127="","NON LIVRE",NETWORKDAYS($P127,$Q127)-1)</f>
        <v>NON LIVRE</v>
      </c>
      <c r="Z127" s="1" t="str">
        <f t="shared" si="26"/>
        <v>NON LIVRE</v>
      </c>
      <c r="AA127" s="1" t="str">
        <f t="shared" ref="AA127:AA190" si="41">IFERROR(IF($R127="","NON LIVRE",IF($G127="","PAS DE COMMANDE MATIERE",NETWORKDAYS($F127,$G127)-1)),$G127)</f>
        <v>NON LIVRE</v>
      </c>
      <c r="AB127" s="1" t="str">
        <f t="shared" si="27"/>
        <v>NON LIVRE</v>
      </c>
      <c r="AC127" s="1" t="str">
        <f t="shared" si="28"/>
        <v>NON LIVRE</v>
      </c>
      <c r="AD127" s="1" t="str">
        <f t="shared" ref="AD127:AD190" si="42">IFERROR(IF($R127="","NON LIVRE",IF($O127="","PAS DE DEPART TIRAGES OU ACHATS",NETWORKDAYS($F127,$O127)-1)),$O127)</f>
        <v>NON LIVRE</v>
      </c>
      <c r="AE127" s="1" t="str">
        <f t="shared" si="29"/>
        <v>NON LIVRE</v>
      </c>
      <c r="AF127" s="1" t="str">
        <f t="shared" si="30"/>
        <v>NON LIVRE</v>
      </c>
      <c r="AG127" s="1" t="str">
        <f t="shared" si="31"/>
        <v>NON LIVRE</v>
      </c>
      <c r="AH127" s="1" t="str">
        <f t="shared" si="32"/>
        <v>NON LIVRE</v>
      </c>
      <c r="AI127" s="1" t="str">
        <f t="shared" si="33"/>
        <v>NON LIVRE</v>
      </c>
      <c r="AJ127" s="1" t="str">
        <f t="shared" si="34"/>
        <v>NON LIVRE</v>
      </c>
      <c r="AK127" s="1" t="str">
        <f t="shared" si="37"/>
        <v>NON LIVRE</v>
      </c>
      <c r="AL127" s="1" t="str">
        <f t="shared" si="35"/>
        <v>NON LIVRE</v>
      </c>
      <c r="AM127" s="1" t="str">
        <f t="shared" si="25"/>
        <v>NON LIVRE</v>
      </c>
      <c r="AN127" s="1" t="str">
        <f t="shared" si="36"/>
        <v>NON LIVRE</v>
      </c>
    </row>
    <row r="128" spans="1:40" hidden="1" x14ac:dyDescent="0.3">
      <c r="A128" s="1">
        <v>25189</v>
      </c>
      <c r="B128" s="1" t="s">
        <v>62</v>
      </c>
      <c r="C128" s="3" t="s">
        <v>223</v>
      </c>
      <c r="D128" s="4">
        <v>1800</v>
      </c>
      <c r="E128" s="2" t="s">
        <v>224</v>
      </c>
      <c r="F128" s="2">
        <v>45931</v>
      </c>
      <c r="G128" s="2">
        <v>45932</v>
      </c>
      <c r="H128" s="2">
        <v>45964</v>
      </c>
      <c r="I128" s="2">
        <v>45939</v>
      </c>
      <c r="J128" s="2" t="s">
        <v>315</v>
      </c>
      <c r="K128" s="2">
        <v>45956</v>
      </c>
      <c r="L128" s="2">
        <v>45968</v>
      </c>
      <c r="M128" s="2">
        <v>45966</v>
      </c>
      <c r="N128" s="2">
        <v>45965</v>
      </c>
      <c r="O128" s="2">
        <v>45975</v>
      </c>
      <c r="P128" s="2">
        <v>46003</v>
      </c>
      <c r="Q128" s="2">
        <v>46003</v>
      </c>
      <c r="R128" s="2">
        <v>46375</v>
      </c>
      <c r="S128" s="1">
        <v>2</v>
      </c>
      <c r="W128" s="1">
        <f t="shared" si="38"/>
        <v>317</v>
      </c>
      <c r="X128" s="1">
        <f t="shared" si="39"/>
        <v>52</v>
      </c>
      <c r="Y128" s="1">
        <f t="shared" si="40"/>
        <v>0</v>
      </c>
      <c r="Z128" s="1">
        <f t="shared" si="26"/>
        <v>24</v>
      </c>
      <c r="AA128" s="1">
        <f t="shared" si="41"/>
        <v>1</v>
      </c>
      <c r="AB128" s="1">
        <f t="shared" si="27"/>
        <v>22</v>
      </c>
      <c r="AC128" s="1">
        <f t="shared" si="28"/>
        <v>1</v>
      </c>
      <c r="AD128" s="1">
        <f t="shared" si="42"/>
        <v>32</v>
      </c>
      <c r="AE128" s="1">
        <f t="shared" si="29"/>
        <v>27</v>
      </c>
      <c r="AF128" s="1">
        <f t="shared" si="30"/>
        <v>17</v>
      </c>
      <c r="AG128" s="1">
        <f t="shared" si="31"/>
        <v>25</v>
      </c>
      <c r="AH128" s="1">
        <f t="shared" si="32"/>
        <v>6</v>
      </c>
      <c r="AI128" s="1" t="str">
        <f t="shared" si="33"/>
        <v>ANC FAB</v>
      </c>
      <c r="AJ128" s="1">
        <f t="shared" si="34"/>
        <v>21</v>
      </c>
      <c r="AK128" s="1">
        <f t="shared" si="37"/>
        <v>5</v>
      </c>
      <c r="AL128" s="1">
        <f t="shared" si="35"/>
        <v>8</v>
      </c>
      <c r="AM128" s="1">
        <f t="shared" si="25"/>
        <v>20</v>
      </c>
      <c r="AN128" s="1">
        <f t="shared" si="36"/>
        <v>265</v>
      </c>
    </row>
    <row r="129" spans="1:40" hidden="1" x14ac:dyDescent="0.3">
      <c r="A129" s="1">
        <v>25190</v>
      </c>
      <c r="B129" s="1" t="s">
        <v>62</v>
      </c>
      <c r="C129" s="3" t="s">
        <v>225</v>
      </c>
      <c r="D129" s="4">
        <f>2795+500+1205</f>
        <v>4500</v>
      </c>
      <c r="E129" s="2" t="s">
        <v>314</v>
      </c>
      <c r="F129" s="2">
        <v>45931</v>
      </c>
      <c r="G129" s="2">
        <v>45932</v>
      </c>
      <c r="H129" s="2">
        <v>45965</v>
      </c>
      <c r="I129" s="2">
        <v>45939</v>
      </c>
      <c r="J129" s="2" t="s">
        <v>315</v>
      </c>
      <c r="K129" s="2">
        <v>45951</v>
      </c>
      <c r="L129" s="2">
        <v>45966</v>
      </c>
      <c r="M129" s="2">
        <v>45967</v>
      </c>
      <c r="N129" s="2">
        <v>45965</v>
      </c>
      <c r="O129" s="2">
        <v>46030</v>
      </c>
      <c r="P129" s="2">
        <v>46003</v>
      </c>
      <c r="Q129" s="2">
        <v>46003</v>
      </c>
      <c r="R129" s="2">
        <v>46052</v>
      </c>
      <c r="S129" s="1">
        <v>4</v>
      </c>
      <c r="W129" s="1">
        <f t="shared" si="38"/>
        <v>87</v>
      </c>
      <c r="X129" s="1">
        <f t="shared" si="39"/>
        <v>52</v>
      </c>
      <c r="Y129" s="1">
        <f t="shared" si="40"/>
        <v>0</v>
      </c>
      <c r="Z129" s="1">
        <f t="shared" si="26"/>
        <v>24</v>
      </c>
      <c r="AA129" s="1">
        <f t="shared" si="41"/>
        <v>1</v>
      </c>
      <c r="AB129" s="1">
        <f t="shared" si="27"/>
        <v>23</v>
      </c>
      <c r="AC129" s="1">
        <f t="shared" si="28"/>
        <v>0</v>
      </c>
      <c r="AD129" s="1">
        <f t="shared" si="42"/>
        <v>71</v>
      </c>
      <c r="AE129" s="1">
        <f t="shared" si="29"/>
        <v>25</v>
      </c>
      <c r="AF129" s="1">
        <f t="shared" si="30"/>
        <v>14</v>
      </c>
      <c r="AG129" s="1">
        <f t="shared" si="31"/>
        <v>26</v>
      </c>
      <c r="AH129" s="1">
        <f t="shared" si="32"/>
        <v>6</v>
      </c>
      <c r="AI129" s="1" t="str">
        <f t="shared" si="33"/>
        <v>ANC FAB</v>
      </c>
      <c r="AJ129" s="1">
        <f t="shared" si="34"/>
        <v>19</v>
      </c>
      <c r="AK129" s="1">
        <f t="shared" si="37"/>
        <v>46</v>
      </c>
      <c r="AL129" s="1">
        <f t="shared" si="35"/>
        <v>47</v>
      </c>
      <c r="AM129" s="1">
        <f t="shared" si="25"/>
        <v>-21</v>
      </c>
      <c r="AN129" s="1">
        <f t="shared" si="36"/>
        <v>35</v>
      </c>
    </row>
    <row r="130" spans="1:40" hidden="1" x14ac:dyDescent="0.3">
      <c r="A130" s="1">
        <v>25191</v>
      </c>
      <c r="B130" s="1" t="s">
        <v>62</v>
      </c>
      <c r="C130" s="3" t="s">
        <v>226</v>
      </c>
      <c r="D130" s="4">
        <f>3045+200+355+500+200</f>
        <v>4300</v>
      </c>
      <c r="E130" s="2" t="s">
        <v>227</v>
      </c>
      <c r="F130" s="2">
        <v>45931</v>
      </c>
      <c r="G130" s="2">
        <v>45932</v>
      </c>
      <c r="H130" s="2">
        <v>45965</v>
      </c>
      <c r="I130" s="2">
        <v>45943</v>
      </c>
      <c r="J130" s="2" t="s">
        <v>315</v>
      </c>
      <c r="L130" s="2">
        <v>45967</v>
      </c>
      <c r="M130" s="2">
        <v>45967</v>
      </c>
      <c r="N130" s="2">
        <v>45965</v>
      </c>
      <c r="O130" s="2">
        <v>45968</v>
      </c>
      <c r="P130" s="2">
        <v>45996</v>
      </c>
      <c r="Q130" s="2">
        <v>45996</v>
      </c>
      <c r="R130" s="2">
        <f>Q130</f>
        <v>45996</v>
      </c>
      <c r="S130" s="1">
        <v>1</v>
      </c>
      <c r="W130" s="1">
        <f t="shared" si="38"/>
        <v>47</v>
      </c>
      <c r="X130" s="1">
        <f t="shared" si="39"/>
        <v>47</v>
      </c>
      <c r="Y130" s="1">
        <f t="shared" si="40"/>
        <v>0</v>
      </c>
      <c r="Z130" s="1">
        <f t="shared" si="26"/>
        <v>24</v>
      </c>
      <c r="AA130" s="1">
        <f t="shared" si="41"/>
        <v>1</v>
      </c>
      <c r="AB130" s="1">
        <f t="shared" si="27"/>
        <v>23</v>
      </c>
      <c r="AC130" s="1">
        <f t="shared" si="28"/>
        <v>0</v>
      </c>
      <c r="AD130" s="1">
        <f t="shared" si="42"/>
        <v>27</v>
      </c>
      <c r="AE130" s="1">
        <f t="shared" si="29"/>
        <v>26</v>
      </c>
      <c r="AF130" s="1" t="str">
        <f t="shared" si="30"/>
        <v>PAS DE DATE PAPIER</v>
      </c>
      <c r="AG130" s="1">
        <f t="shared" si="31"/>
        <v>26</v>
      </c>
      <c r="AH130" s="1">
        <f t="shared" si="32"/>
        <v>8</v>
      </c>
      <c r="AI130" s="1" t="str">
        <f t="shared" si="33"/>
        <v>ANC FAB</v>
      </c>
      <c r="AJ130" s="1">
        <f t="shared" si="34"/>
        <v>18</v>
      </c>
      <c r="AK130" s="1">
        <f t="shared" si="37"/>
        <v>1</v>
      </c>
      <c r="AL130" s="1">
        <f t="shared" si="35"/>
        <v>3</v>
      </c>
      <c r="AM130" s="1">
        <f t="shared" ref="AM130:AM193" si="43">IFERROR(IF($R130="","NON LIVRE",IF(MAX($N130,$O130)=0,"PAS D'EXPEDITION DE MATIERE, D'IMPRESSION, OU D'ACHAT",NETWORKDAYS(MAX($N130,$O130),$Q130)-1)),"PAS D'EXPEDITION DE MATIERE, D'IMPRESSION, OU D'ACHAT")</f>
        <v>20</v>
      </c>
      <c r="AN130" s="1">
        <f t="shared" si="36"/>
        <v>0</v>
      </c>
    </row>
    <row r="131" spans="1:40" hidden="1" x14ac:dyDescent="0.3">
      <c r="A131" s="1">
        <v>25192</v>
      </c>
      <c r="B131" s="1" t="s">
        <v>62</v>
      </c>
      <c r="C131" s="3" t="s">
        <v>202</v>
      </c>
      <c r="D131" s="4">
        <f>2700+500+600+500</f>
        <v>4300</v>
      </c>
      <c r="E131" s="2" t="s">
        <v>191</v>
      </c>
      <c r="F131" s="2">
        <v>45931</v>
      </c>
      <c r="G131" s="2">
        <v>45931</v>
      </c>
      <c r="H131" s="2">
        <v>46002</v>
      </c>
      <c r="I131" s="2">
        <v>45957</v>
      </c>
      <c r="J131" s="2" t="s">
        <v>315</v>
      </c>
      <c r="K131" s="2">
        <v>45951</v>
      </c>
      <c r="L131" s="2">
        <v>45966</v>
      </c>
      <c r="M131" s="2">
        <v>45967</v>
      </c>
      <c r="N131" s="2">
        <v>46003</v>
      </c>
      <c r="O131" s="2">
        <v>46003</v>
      </c>
      <c r="P131" s="2">
        <v>46038</v>
      </c>
      <c r="Q131" s="2">
        <v>46045</v>
      </c>
      <c r="R131" s="2">
        <v>46066</v>
      </c>
      <c r="S131" s="1">
        <v>4</v>
      </c>
      <c r="T131" s="3" t="s">
        <v>365</v>
      </c>
      <c r="U131" s="1" t="s">
        <v>366</v>
      </c>
      <c r="W131" s="1">
        <f t="shared" si="38"/>
        <v>97</v>
      </c>
      <c r="X131" s="1">
        <f t="shared" si="39"/>
        <v>82</v>
      </c>
      <c r="Y131" s="1">
        <f t="shared" si="40"/>
        <v>5</v>
      </c>
      <c r="Z131" s="1">
        <f t="shared" ref="Z131:Z194" si="44">IFERROR(IF($R131="","NON LIVRE",IF($N131="","PAS DE DEPART MATIERE",NETWORKDAYS($F131,$N131)-1)),$N131)</f>
        <v>52</v>
      </c>
      <c r="AA131" s="1">
        <f t="shared" si="41"/>
        <v>0</v>
      </c>
      <c r="AB131" s="1">
        <f t="shared" ref="AB131:AB194" si="45">IFERROR(IF($R131="","NON LIVRE",IF($H131="","PAS DE COMMANDE MATIERE",NETWORKDAYS($G131,$H131)-1)),$H131)</f>
        <v>51</v>
      </c>
      <c r="AC131" s="1">
        <f t="shared" ref="AC131:AC194" si="46">IFERROR(IF($R131="","NON LIVRE",IF($N131="","PAS DE COMMANDE MATIERE",NETWORKDAYS($H131,$N131)-1)),$N131)</f>
        <v>1</v>
      </c>
      <c r="AD131" s="1">
        <f t="shared" si="42"/>
        <v>52</v>
      </c>
      <c r="AE131" s="1">
        <f t="shared" ref="AE131:AE194" si="47">IFERROR(IF($R131="","NON LIVRE",IF($L131="","PAS DE DATE IMPRESSION",NETWORKDAYS($F131,$L131)-1)),$L131)</f>
        <v>25</v>
      </c>
      <c r="AF131" s="1">
        <f t="shared" ref="AF131:AF194" si="48">IFERROR(IF($R131="","NON LIVRE",IF($K131="","PAS DE DATE PAPIER",NETWORKDAYS($F131,$K131)-1)),$K131)</f>
        <v>14</v>
      </c>
      <c r="AG131" s="1">
        <f t="shared" ref="AG131:AG194" si="49">IFERROR(IF($R131="","NON LIVRE",IF($M131="","PAS DE DATE CARTON",NETWORKDAYS($F131,$M131)-1)),$M131)</f>
        <v>26</v>
      </c>
      <c r="AH131" s="1">
        <f t="shared" ref="AH131:AH194" si="50">IFERROR(IF($R131="","NON LIVRE",IF($I131="","PAS DE DATE FICHIER",NETWORKDAYS($F131,$I131)-1)),$I131)</f>
        <v>18</v>
      </c>
      <c r="AI131" s="1" t="str">
        <f t="shared" ref="AI131:AI194" si="51">IFERROR(IF($R131="","NON LIVRE",IF($J131="","PAS DE DATE VALIDATION MODELE CLIENT",NETWORKDAYS($F131,$J131)-1)),$J131)</f>
        <v>ANC FAB</v>
      </c>
      <c r="AJ131" s="1">
        <f t="shared" ref="AJ131:AJ194" si="52">IFERROR(IF($R131="","NON LIVRE",IF($L131="","PAS DE DATE IMPRESSION",NETWORKDAYS(MAX($I131,$J131),$L131)-1)),$L131)</f>
        <v>7</v>
      </c>
      <c r="AK131" s="1">
        <f t="shared" si="37"/>
        <v>27</v>
      </c>
      <c r="AL131" s="1">
        <f t="shared" ref="AL131:AL194" si="53">IFERROR(IF($R131="","NON LIVRE",IF(MAX($N131,$O131)=0,"PAS D'EXPEDITION DE MATIERE, D'IMPRESSION, OU D'ACHAT",NETWORKDAYS(MIN($N131,$O131),MAX($N131,$O131))-1)),"PAS D'EXPEDITION DE MATIERE, D'IMPRESSION, OU D'ACHAT")</f>
        <v>0</v>
      </c>
      <c r="AM131" s="1">
        <f t="shared" si="43"/>
        <v>30</v>
      </c>
      <c r="AN131" s="1">
        <f t="shared" ref="AN131:AN194" si="54">IFERROR(IF($R131="","NON LIVRE",IF($N131="","PAS D'IMPRESSION",IF($O131="","PAS DE DATE VALIDATION MODELE CLIENT",NETWORKDAYS($Q131,R131)-1))),$O131)</f>
        <v>15</v>
      </c>
    </row>
    <row r="132" spans="1:40" hidden="1" x14ac:dyDescent="0.3">
      <c r="A132" s="1">
        <v>25193</v>
      </c>
      <c r="B132" s="1" t="s">
        <v>62</v>
      </c>
      <c r="C132" s="3" t="s">
        <v>228</v>
      </c>
      <c r="D132" s="4">
        <f>8420+1000+2580+500+4000</f>
        <v>16500</v>
      </c>
      <c r="F132" s="2">
        <v>45931</v>
      </c>
      <c r="G132" s="2">
        <v>45932</v>
      </c>
      <c r="H132" s="2">
        <v>45959</v>
      </c>
      <c r="I132" s="2">
        <v>45981</v>
      </c>
      <c r="J132" s="2">
        <v>45974</v>
      </c>
      <c r="L132" s="2">
        <v>45999</v>
      </c>
      <c r="M132" s="2">
        <v>45968</v>
      </c>
      <c r="N132" s="2" t="s">
        <v>317</v>
      </c>
      <c r="O132" s="2" t="s">
        <v>317</v>
      </c>
      <c r="P132" s="2">
        <v>46037</v>
      </c>
      <c r="Q132" s="2">
        <v>46038</v>
      </c>
      <c r="R132" s="2">
        <v>46038</v>
      </c>
      <c r="S132" s="1">
        <v>4</v>
      </c>
      <c r="W132" s="1">
        <f t="shared" si="38"/>
        <v>77</v>
      </c>
      <c r="X132" s="1">
        <f t="shared" si="39"/>
        <v>77</v>
      </c>
      <c r="Y132" s="1">
        <f t="shared" si="40"/>
        <v>1</v>
      </c>
      <c r="Z132" s="1" t="str">
        <f t="shared" si="44"/>
        <v>LBFI</v>
      </c>
      <c r="AA132" s="1">
        <f t="shared" si="41"/>
        <v>1</v>
      </c>
      <c r="AB132" s="1">
        <f t="shared" si="45"/>
        <v>19</v>
      </c>
      <c r="AC132" s="1" t="str">
        <f t="shared" si="46"/>
        <v>LBFI</v>
      </c>
      <c r="AD132" s="1" t="str">
        <f t="shared" si="42"/>
        <v>LBFI</v>
      </c>
      <c r="AE132" s="1">
        <f t="shared" si="47"/>
        <v>48</v>
      </c>
      <c r="AF132" s="1" t="str">
        <f t="shared" si="48"/>
        <v>PAS DE DATE PAPIER</v>
      </c>
      <c r="AG132" s="1">
        <f t="shared" si="49"/>
        <v>27</v>
      </c>
      <c r="AH132" s="1">
        <f t="shared" si="50"/>
        <v>36</v>
      </c>
      <c r="AI132" s="1">
        <f t="shared" si="51"/>
        <v>31</v>
      </c>
      <c r="AJ132" s="1">
        <f t="shared" si="52"/>
        <v>12</v>
      </c>
      <c r="AK132" s="1" t="str">
        <f t="shared" si="37"/>
        <v>LBFI</v>
      </c>
      <c r="AL132" s="1" t="str">
        <f t="shared" si="53"/>
        <v>PAS D'EXPEDITION DE MATIERE, D'IMPRESSION, OU D'ACHAT</v>
      </c>
      <c r="AM132" s="1" t="str">
        <f t="shared" si="43"/>
        <v>PAS D'EXPEDITION DE MATIERE, D'IMPRESSION, OU D'ACHAT</v>
      </c>
      <c r="AN132" s="1">
        <f t="shared" si="54"/>
        <v>0</v>
      </c>
    </row>
    <row r="133" spans="1:40" hidden="1" x14ac:dyDescent="0.3">
      <c r="A133" s="1">
        <v>25194</v>
      </c>
      <c r="B133" s="1" t="s">
        <v>229</v>
      </c>
      <c r="C133" s="3" t="s">
        <v>179</v>
      </c>
      <c r="D133" s="4">
        <v>150</v>
      </c>
      <c r="E133" s="2" t="s">
        <v>179</v>
      </c>
      <c r="F133" s="2">
        <v>45936</v>
      </c>
      <c r="I133" s="2">
        <v>45940</v>
      </c>
      <c r="J133" s="2">
        <v>45946</v>
      </c>
      <c r="L133" s="2">
        <v>45966</v>
      </c>
      <c r="M133" s="2" t="s">
        <v>199</v>
      </c>
      <c r="O133" s="2">
        <v>45968</v>
      </c>
      <c r="P133" s="2">
        <v>45996</v>
      </c>
      <c r="Q133" s="2">
        <v>45996</v>
      </c>
      <c r="R133" s="2">
        <v>45996</v>
      </c>
      <c r="S133" s="1">
        <v>1</v>
      </c>
      <c r="W133" s="1">
        <f t="shared" si="38"/>
        <v>44</v>
      </c>
      <c r="X133" s="1">
        <f t="shared" si="39"/>
        <v>44</v>
      </c>
      <c r="Y133" s="1">
        <f t="shared" si="40"/>
        <v>0</v>
      </c>
      <c r="Z133" s="1" t="str">
        <f t="shared" si="44"/>
        <v>PAS DE DEPART MATIERE</v>
      </c>
      <c r="AA133" s="1" t="str">
        <f t="shared" si="41"/>
        <v>PAS DE COMMANDE MATIERE</v>
      </c>
      <c r="AB133" s="1" t="str">
        <f t="shared" si="45"/>
        <v>PAS DE COMMANDE MATIERE</v>
      </c>
      <c r="AC133" s="1" t="str">
        <f t="shared" si="46"/>
        <v>PAS DE COMMANDE MATIERE</v>
      </c>
      <c r="AD133" s="1">
        <f t="shared" si="42"/>
        <v>24</v>
      </c>
      <c r="AE133" s="1">
        <f t="shared" si="47"/>
        <v>22</v>
      </c>
      <c r="AF133" s="1" t="str">
        <f t="shared" si="48"/>
        <v>PAS DE DATE PAPIER</v>
      </c>
      <c r="AG133" s="1" t="str">
        <f t="shared" si="49"/>
        <v>STOCK</v>
      </c>
      <c r="AH133" s="1">
        <f t="shared" si="50"/>
        <v>4</v>
      </c>
      <c r="AI133" s="1">
        <f t="shared" si="51"/>
        <v>8</v>
      </c>
      <c r="AJ133" s="1">
        <f t="shared" si="52"/>
        <v>14</v>
      </c>
      <c r="AK133" s="1">
        <f t="shared" si="37"/>
        <v>2</v>
      </c>
      <c r="AL133" s="1">
        <f t="shared" si="53"/>
        <v>0</v>
      </c>
      <c r="AM133" s="1">
        <f t="shared" si="43"/>
        <v>20</v>
      </c>
      <c r="AN133" s="1" t="str">
        <f t="shared" si="54"/>
        <v>PAS D'IMPRESSION</v>
      </c>
    </row>
    <row r="134" spans="1:40" hidden="1" x14ac:dyDescent="0.3">
      <c r="A134" s="1">
        <v>25195</v>
      </c>
      <c r="B134" s="1" t="s">
        <v>230</v>
      </c>
      <c r="C134" s="3" t="s">
        <v>231</v>
      </c>
      <c r="D134" s="4">
        <v>1500</v>
      </c>
      <c r="E134" s="2" t="s">
        <v>149</v>
      </c>
      <c r="F134" s="2">
        <v>45937</v>
      </c>
      <c r="G134" s="2">
        <v>45946</v>
      </c>
      <c r="H134" s="2">
        <v>45993</v>
      </c>
      <c r="I134" s="2">
        <v>46021</v>
      </c>
      <c r="J134" s="2">
        <v>45960</v>
      </c>
      <c r="L134" s="2">
        <v>46093</v>
      </c>
      <c r="M134" s="2" t="s">
        <v>199</v>
      </c>
      <c r="N134" s="2">
        <v>46059</v>
      </c>
      <c r="O134" s="2">
        <v>46097</v>
      </c>
      <c r="P134" s="2">
        <v>46031</v>
      </c>
      <c r="Q134" s="2">
        <v>46052</v>
      </c>
      <c r="R134" s="2">
        <v>46126</v>
      </c>
      <c r="S134" s="1">
        <v>4</v>
      </c>
      <c r="W134" s="1">
        <f t="shared" si="38"/>
        <v>135</v>
      </c>
      <c r="X134" s="1">
        <f t="shared" si="39"/>
        <v>83</v>
      </c>
      <c r="Y134" s="1">
        <f t="shared" si="40"/>
        <v>15</v>
      </c>
      <c r="Z134" s="1">
        <f t="shared" si="44"/>
        <v>88</v>
      </c>
      <c r="AA134" s="1">
        <f t="shared" si="41"/>
        <v>7</v>
      </c>
      <c r="AB134" s="1">
        <f t="shared" si="45"/>
        <v>33</v>
      </c>
      <c r="AC134" s="1">
        <f t="shared" si="46"/>
        <v>48</v>
      </c>
      <c r="AD134" s="1">
        <f t="shared" si="42"/>
        <v>114</v>
      </c>
      <c r="AE134" s="1">
        <f t="shared" si="47"/>
        <v>112</v>
      </c>
      <c r="AF134" s="1" t="str">
        <f t="shared" si="48"/>
        <v>PAS DE DATE PAPIER</v>
      </c>
      <c r="AG134" s="1" t="str">
        <f t="shared" si="49"/>
        <v>STOCK</v>
      </c>
      <c r="AH134" s="1">
        <f t="shared" si="50"/>
        <v>60</v>
      </c>
      <c r="AI134" s="1">
        <f t="shared" si="51"/>
        <v>17</v>
      </c>
      <c r="AJ134" s="1">
        <f t="shared" si="52"/>
        <v>52</v>
      </c>
      <c r="AK134" s="1">
        <f t="shared" si="37"/>
        <v>2</v>
      </c>
      <c r="AL134" s="1">
        <f t="shared" si="53"/>
        <v>26</v>
      </c>
      <c r="AM134" s="1">
        <f t="shared" si="43"/>
        <v>-33</v>
      </c>
      <c r="AN134" s="1">
        <f t="shared" si="54"/>
        <v>52</v>
      </c>
    </row>
    <row r="135" spans="1:40" hidden="1" x14ac:dyDescent="0.3">
      <c r="A135" s="1">
        <v>25196</v>
      </c>
      <c r="B135" s="1" t="s">
        <v>232</v>
      </c>
      <c r="C135" s="3" t="s">
        <v>233</v>
      </c>
      <c r="D135" s="4">
        <f>16825+1100+2525+1540</f>
        <v>21990</v>
      </c>
      <c r="E135" s="2" t="s">
        <v>312</v>
      </c>
      <c r="F135" s="2">
        <v>45939</v>
      </c>
      <c r="G135" s="2">
        <v>45944</v>
      </c>
      <c r="H135" s="2">
        <v>45980</v>
      </c>
      <c r="I135" s="2">
        <v>45978</v>
      </c>
      <c r="J135" s="2">
        <v>45965</v>
      </c>
      <c r="K135" s="2">
        <v>45966</v>
      </c>
      <c r="L135" s="2">
        <v>45989</v>
      </c>
      <c r="M135" s="2">
        <v>45967</v>
      </c>
      <c r="N135" s="2">
        <v>45982</v>
      </c>
      <c r="O135" s="2">
        <v>45996</v>
      </c>
      <c r="P135" s="2">
        <v>46017</v>
      </c>
      <c r="Q135" s="2">
        <v>46021</v>
      </c>
      <c r="R135" s="2">
        <v>46073</v>
      </c>
      <c r="S135" s="1">
        <v>7</v>
      </c>
      <c r="T135" s="3" t="s">
        <v>316</v>
      </c>
      <c r="W135" s="1">
        <f t="shared" si="38"/>
        <v>96</v>
      </c>
      <c r="X135" s="1">
        <f t="shared" si="39"/>
        <v>58</v>
      </c>
      <c r="Y135" s="1">
        <f t="shared" si="40"/>
        <v>2</v>
      </c>
      <c r="Z135" s="1">
        <f t="shared" si="44"/>
        <v>31</v>
      </c>
      <c r="AA135" s="1">
        <f t="shared" si="41"/>
        <v>3</v>
      </c>
      <c r="AB135" s="1">
        <f t="shared" si="45"/>
        <v>26</v>
      </c>
      <c r="AC135" s="1">
        <f t="shared" si="46"/>
        <v>2</v>
      </c>
      <c r="AD135" s="1">
        <f t="shared" si="42"/>
        <v>41</v>
      </c>
      <c r="AE135" s="1">
        <f t="shared" si="47"/>
        <v>36</v>
      </c>
      <c r="AF135" s="1">
        <f t="shared" si="48"/>
        <v>19</v>
      </c>
      <c r="AG135" s="1">
        <f t="shared" si="49"/>
        <v>20</v>
      </c>
      <c r="AH135" s="1">
        <f t="shared" si="50"/>
        <v>27</v>
      </c>
      <c r="AI135" s="1">
        <f t="shared" si="51"/>
        <v>18</v>
      </c>
      <c r="AJ135" s="1">
        <f t="shared" si="52"/>
        <v>9</v>
      </c>
      <c r="AK135" s="1">
        <f t="shared" si="37"/>
        <v>5</v>
      </c>
      <c r="AL135" s="1">
        <f t="shared" si="53"/>
        <v>10</v>
      </c>
      <c r="AM135" s="1">
        <f t="shared" si="43"/>
        <v>17</v>
      </c>
      <c r="AN135" s="1">
        <f t="shared" si="54"/>
        <v>38</v>
      </c>
    </row>
    <row r="136" spans="1:40" hidden="1" x14ac:dyDescent="0.3">
      <c r="A136" s="1">
        <v>25197</v>
      </c>
      <c r="B136" s="1" t="s">
        <v>232</v>
      </c>
      <c r="C136" s="3" t="s">
        <v>234</v>
      </c>
      <c r="D136" s="4">
        <f>4500+6900</f>
        <v>11400</v>
      </c>
      <c r="E136" s="2" t="s">
        <v>302</v>
      </c>
      <c r="F136" s="2">
        <v>45939</v>
      </c>
      <c r="G136" s="2">
        <v>46006</v>
      </c>
      <c r="H136" s="2">
        <v>46072</v>
      </c>
      <c r="I136" s="2">
        <v>46008</v>
      </c>
      <c r="J136" s="2">
        <v>45939</v>
      </c>
      <c r="K136" s="2">
        <v>45994</v>
      </c>
      <c r="L136" s="2">
        <v>46052</v>
      </c>
      <c r="M136" s="2">
        <v>46029</v>
      </c>
      <c r="N136" s="2">
        <v>46077</v>
      </c>
      <c r="O136" s="2">
        <v>46086</v>
      </c>
      <c r="P136" s="2">
        <v>46108</v>
      </c>
      <c r="Q136" s="2">
        <v>46115</v>
      </c>
      <c r="R136" s="2">
        <v>46136</v>
      </c>
      <c r="S136" s="1">
        <v>4</v>
      </c>
      <c r="W136" s="1">
        <f t="shared" si="38"/>
        <v>141</v>
      </c>
      <c r="X136" s="1">
        <f t="shared" si="39"/>
        <v>126</v>
      </c>
      <c r="Y136" s="1">
        <f t="shared" si="40"/>
        <v>5</v>
      </c>
      <c r="Z136" s="1">
        <f t="shared" si="44"/>
        <v>98</v>
      </c>
      <c r="AA136" s="1">
        <f t="shared" si="41"/>
        <v>47</v>
      </c>
      <c r="AB136" s="1">
        <f t="shared" si="45"/>
        <v>48</v>
      </c>
      <c r="AC136" s="1">
        <f t="shared" si="46"/>
        <v>3</v>
      </c>
      <c r="AD136" s="1">
        <f t="shared" si="42"/>
        <v>105</v>
      </c>
      <c r="AE136" s="1">
        <f t="shared" si="47"/>
        <v>81</v>
      </c>
      <c r="AF136" s="1">
        <f t="shared" si="48"/>
        <v>39</v>
      </c>
      <c r="AG136" s="1">
        <f t="shared" si="49"/>
        <v>64</v>
      </c>
      <c r="AH136" s="1">
        <f t="shared" si="50"/>
        <v>49</v>
      </c>
      <c r="AI136" s="1">
        <f t="shared" si="51"/>
        <v>0</v>
      </c>
      <c r="AJ136" s="1">
        <f t="shared" si="52"/>
        <v>32</v>
      </c>
      <c r="AK136" s="1">
        <f t="shared" si="37"/>
        <v>24</v>
      </c>
      <c r="AL136" s="1">
        <f t="shared" si="53"/>
        <v>7</v>
      </c>
      <c r="AM136" s="1">
        <f t="shared" si="43"/>
        <v>21</v>
      </c>
      <c r="AN136" s="1">
        <f t="shared" si="54"/>
        <v>15</v>
      </c>
    </row>
    <row r="137" spans="1:40" hidden="1" x14ac:dyDescent="0.3">
      <c r="A137" s="1">
        <v>25198</v>
      </c>
      <c r="B137" s="1" t="s">
        <v>232</v>
      </c>
      <c r="C137" s="3" t="s">
        <v>235</v>
      </c>
      <c r="D137" s="4">
        <f>7950+3150+1150</f>
        <v>12250</v>
      </c>
      <c r="E137" s="2" t="s">
        <v>312</v>
      </c>
      <c r="F137" s="2">
        <v>45939</v>
      </c>
      <c r="G137" s="2">
        <v>45954</v>
      </c>
      <c r="I137" s="2">
        <v>46006</v>
      </c>
      <c r="J137" s="2">
        <v>45996</v>
      </c>
      <c r="K137" s="2">
        <v>45994</v>
      </c>
      <c r="L137" s="2">
        <v>46014</v>
      </c>
      <c r="M137" s="2">
        <v>46029</v>
      </c>
      <c r="W137" s="1" t="str">
        <f t="shared" si="38"/>
        <v>NON LIVRE</v>
      </c>
      <c r="X137" s="1" t="str">
        <f t="shared" si="39"/>
        <v>NON LIVRE</v>
      </c>
      <c r="Y137" s="1" t="str">
        <f t="shared" si="40"/>
        <v>NON LIVRE</v>
      </c>
      <c r="Z137" s="1" t="str">
        <f t="shared" si="44"/>
        <v>NON LIVRE</v>
      </c>
      <c r="AA137" s="1" t="str">
        <f t="shared" si="41"/>
        <v>NON LIVRE</v>
      </c>
      <c r="AB137" s="1" t="str">
        <f t="shared" si="45"/>
        <v>NON LIVRE</v>
      </c>
      <c r="AC137" s="1" t="str">
        <f t="shared" si="46"/>
        <v>NON LIVRE</v>
      </c>
      <c r="AD137" s="1" t="str">
        <f t="shared" si="42"/>
        <v>NON LIVRE</v>
      </c>
      <c r="AE137" s="1" t="str">
        <f t="shared" si="47"/>
        <v>NON LIVRE</v>
      </c>
      <c r="AF137" s="1" t="str">
        <f t="shared" si="48"/>
        <v>NON LIVRE</v>
      </c>
      <c r="AG137" s="1" t="str">
        <f t="shared" si="49"/>
        <v>NON LIVRE</v>
      </c>
      <c r="AH137" s="1" t="str">
        <f t="shared" si="50"/>
        <v>NON LIVRE</v>
      </c>
      <c r="AI137" s="1" t="str">
        <f t="shared" si="51"/>
        <v>NON LIVRE</v>
      </c>
      <c r="AJ137" s="1" t="str">
        <f t="shared" si="52"/>
        <v>NON LIVRE</v>
      </c>
      <c r="AK137" s="1" t="str">
        <f t="shared" si="37"/>
        <v>NON LIVRE</v>
      </c>
      <c r="AL137" s="1" t="str">
        <f t="shared" si="53"/>
        <v>NON LIVRE</v>
      </c>
      <c r="AM137" s="1" t="str">
        <f t="shared" si="43"/>
        <v>NON LIVRE</v>
      </c>
      <c r="AN137" s="1" t="str">
        <f t="shared" si="54"/>
        <v>NON LIVRE</v>
      </c>
    </row>
    <row r="138" spans="1:40" hidden="1" x14ac:dyDescent="0.3">
      <c r="A138" s="1">
        <v>25199</v>
      </c>
      <c r="B138" s="1" t="s">
        <v>232</v>
      </c>
      <c r="C138" s="3" t="s">
        <v>236</v>
      </c>
      <c r="D138" s="4">
        <f>7950+3150+1150</f>
        <v>12250</v>
      </c>
      <c r="E138" s="2" t="s">
        <v>313</v>
      </c>
      <c r="F138" s="2">
        <v>45939</v>
      </c>
      <c r="G138" s="2">
        <v>46317</v>
      </c>
      <c r="H138" s="2">
        <v>45974</v>
      </c>
      <c r="I138" s="2">
        <v>46034</v>
      </c>
      <c r="J138" s="2">
        <v>45996</v>
      </c>
      <c r="K138" s="2">
        <v>45994</v>
      </c>
      <c r="L138" s="2">
        <v>46049</v>
      </c>
      <c r="M138" s="2">
        <v>46029</v>
      </c>
      <c r="N138" s="2">
        <v>46038</v>
      </c>
      <c r="O138" s="2">
        <v>46066</v>
      </c>
      <c r="P138" s="2">
        <v>46087</v>
      </c>
      <c r="Q138" s="2">
        <v>46094</v>
      </c>
      <c r="R138" s="2">
        <v>46129</v>
      </c>
      <c r="S138" s="1">
        <v>5</v>
      </c>
      <c r="W138" s="1">
        <f t="shared" si="38"/>
        <v>136</v>
      </c>
      <c r="X138" s="1">
        <f t="shared" si="39"/>
        <v>111</v>
      </c>
      <c r="Y138" s="1">
        <f t="shared" si="40"/>
        <v>5</v>
      </c>
      <c r="Z138" s="1">
        <f t="shared" si="44"/>
        <v>71</v>
      </c>
      <c r="AA138" s="1">
        <f t="shared" si="41"/>
        <v>270</v>
      </c>
      <c r="AB138" s="1">
        <f t="shared" si="45"/>
        <v>-247</v>
      </c>
      <c r="AC138" s="1">
        <f t="shared" si="46"/>
        <v>46</v>
      </c>
      <c r="AD138" s="1">
        <f t="shared" si="42"/>
        <v>91</v>
      </c>
      <c r="AE138" s="1">
        <f t="shared" si="47"/>
        <v>78</v>
      </c>
      <c r="AF138" s="1">
        <f t="shared" si="48"/>
        <v>39</v>
      </c>
      <c r="AG138" s="1">
        <f t="shared" si="49"/>
        <v>64</v>
      </c>
      <c r="AH138" s="1">
        <f t="shared" si="50"/>
        <v>67</v>
      </c>
      <c r="AI138" s="1">
        <f t="shared" si="51"/>
        <v>41</v>
      </c>
      <c r="AJ138" s="1">
        <f t="shared" si="52"/>
        <v>11</v>
      </c>
      <c r="AK138" s="1">
        <f t="shared" si="37"/>
        <v>13</v>
      </c>
      <c r="AL138" s="1">
        <f t="shared" si="53"/>
        <v>20</v>
      </c>
      <c r="AM138" s="1">
        <f t="shared" si="43"/>
        <v>20</v>
      </c>
      <c r="AN138" s="1">
        <f t="shared" si="54"/>
        <v>25</v>
      </c>
    </row>
    <row r="139" spans="1:40" hidden="1" x14ac:dyDescent="0.3">
      <c r="A139" s="1">
        <v>25200</v>
      </c>
      <c r="B139" s="1" t="s">
        <v>97</v>
      </c>
      <c r="C139" s="3" t="s">
        <v>237</v>
      </c>
      <c r="D139" s="4">
        <v>5845</v>
      </c>
      <c r="F139" s="2">
        <v>45939</v>
      </c>
      <c r="G139" s="2">
        <v>45944</v>
      </c>
      <c r="H139" s="2">
        <v>45964</v>
      </c>
      <c r="I139" s="2">
        <v>45960</v>
      </c>
      <c r="J139" s="2">
        <v>45975</v>
      </c>
      <c r="L139" s="2">
        <v>46039</v>
      </c>
      <c r="M139" s="2">
        <v>45967</v>
      </c>
      <c r="N139" s="2">
        <v>45982</v>
      </c>
      <c r="O139" s="2">
        <v>45988</v>
      </c>
      <c r="P139" s="2">
        <v>46022</v>
      </c>
      <c r="Q139" s="2">
        <v>46022</v>
      </c>
      <c r="R139" s="2">
        <v>46045</v>
      </c>
      <c r="S139" s="1">
        <v>4</v>
      </c>
      <c r="W139" s="1">
        <f t="shared" si="38"/>
        <v>76</v>
      </c>
      <c r="X139" s="1">
        <f t="shared" si="39"/>
        <v>59</v>
      </c>
      <c r="Y139" s="1">
        <f t="shared" si="40"/>
        <v>0</v>
      </c>
      <c r="Z139" s="1">
        <f t="shared" si="44"/>
        <v>31</v>
      </c>
      <c r="AA139" s="1">
        <f t="shared" si="41"/>
        <v>3</v>
      </c>
      <c r="AB139" s="1">
        <f t="shared" si="45"/>
        <v>14</v>
      </c>
      <c r="AC139" s="1">
        <f t="shared" si="46"/>
        <v>14</v>
      </c>
      <c r="AD139" s="1">
        <f t="shared" si="42"/>
        <v>35</v>
      </c>
      <c r="AE139" s="1">
        <f t="shared" si="47"/>
        <v>71</v>
      </c>
      <c r="AF139" s="1" t="str">
        <f t="shared" si="48"/>
        <v>PAS DE DATE PAPIER</v>
      </c>
      <c r="AG139" s="1">
        <f t="shared" si="49"/>
        <v>20</v>
      </c>
      <c r="AH139" s="1">
        <f t="shared" si="50"/>
        <v>15</v>
      </c>
      <c r="AI139" s="1">
        <f t="shared" si="51"/>
        <v>26</v>
      </c>
      <c r="AJ139" s="1">
        <f t="shared" si="52"/>
        <v>45</v>
      </c>
      <c r="AK139" s="1">
        <f t="shared" si="37"/>
        <v>-38</v>
      </c>
      <c r="AL139" s="1">
        <f t="shared" si="53"/>
        <v>4</v>
      </c>
      <c r="AM139" s="1">
        <f t="shared" si="43"/>
        <v>24</v>
      </c>
      <c r="AN139" s="1">
        <f t="shared" si="54"/>
        <v>17</v>
      </c>
    </row>
    <row r="140" spans="1:40" hidden="1" x14ac:dyDescent="0.3">
      <c r="A140" s="1">
        <v>25201</v>
      </c>
      <c r="B140" s="1" t="s">
        <v>97</v>
      </c>
      <c r="C140" s="3" t="s">
        <v>238</v>
      </c>
      <c r="D140" s="4">
        <v>1000</v>
      </c>
      <c r="F140" s="2">
        <v>45939</v>
      </c>
      <c r="G140" s="2">
        <v>45944</v>
      </c>
      <c r="H140" s="2">
        <v>45964</v>
      </c>
      <c r="I140" s="2">
        <v>45960</v>
      </c>
      <c r="J140" s="2">
        <v>45975</v>
      </c>
      <c r="L140" s="2">
        <v>46039</v>
      </c>
      <c r="M140" s="2">
        <v>45967</v>
      </c>
      <c r="N140" s="2">
        <v>45982</v>
      </c>
      <c r="O140" s="2">
        <v>45988</v>
      </c>
      <c r="P140" s="2">
        <v>46022</v>
      </c>
      <c r="Q140" s="2">
        <v>46045</v>
      </c>
      <c r="R140" s="2">
        <v>46045</v>
      </c>
      <c r="S140" s="1">
        <v>1</v>
      </c>
      <c r="W140" s="1">
        <f t="shared" si="38"/>
        <v>76</v>
      </c>
      <c r="X140" s="1">
        <f t="shared" si="39"/>
        <v>76</v>
      </c>
      <c r="Y140" s="1">
        <f t="shared" si="40"/>
        <v>17</v>
      </c>
      <c r="Z140" s="1">
        <f t="shared" si="44"/>
        <v>31</v>
      </c>
      <c r="AA140" s="1">
        <f t="shared" si="41"/>
        <v>3</v>
      </c>
      <c r="AB140" s="1">
        <f t="shared" si="45"/>
        <v>14</v>
      </c>
      <c r="AC140" s="1">
        <f t="shared" si="46"/>
        <v>14</v>
      </c>
      <c r="AD140" s="1">
        <f t="shared" si="42"/>
        <v>35</v>
      </c>
      <c r="AE140" s="1">
        <f t="shared" si="47"/>
        <v>71</v>
      </c>
      <c r="AF140" s="1" t="str">
        <f t="shared" si="48"/>
        <v>PAS DE DATE PAPIER</v>
      </c>
      <c r="AG140" s="1">
        <f t="shared" si="49"/>
        <v>20</v>
      </c>
      <c r="AH140" s="1">
        <f t="shared" si="50"/>
        <v>15</v>
      </c>
      <c r="AI140" s="1">
        <f t="shared" si="51"/>
        <v>26</v>
      </c>
      <c r="AJ140" s="1">
        <f t="shared" si="52"/>
        <v>45</v>
      </c>
      <c r="AK140" s="1">
        <f t="shared" si="37"/>
        <v>-38</v>
      </c>
      <c r="AL140" s="1">
        <f t="shared" si="53"/>
        <v>4</v>
      </c>
      <c r="AM140" s="1">
        <f t="shared" si="43"/>
        <v>41</v>
      </c>
      <c r="AN140" s="1">
        <f t="shared" si="54"/>
        <v>0</v>
      </c>
    </row>
    <row r="141" spans="1:40" hidden="1" x14ac:dyDescent="0.3">
      <c r="A141" s="1">
        <v>25202</v>
      </c>
      <c r="B141" s="1" t="s">
        <v>17</v>
      </c>
      <c r="C141" s="3" t="s">
        <v>239</v>
      </c>
      <c r="D141" s="4">
        <v>2000</v>
      </c>
      <c r="F141" s="2">
        <v>45943</v>
      </c>
      <c r="G141" s="2">
        <v>45945</v>
      </c>
      <c r="H141" s="2">
        <v>45954</v>
      </c>
      <c r="I141" s="2">
        <v>45981</v>
      </c>
      <c r="J141" s="2">
        <v>45987</v>
      </c>
      <c r="L141" s="2">
        <v>45989</v>
      </c>
      <c r="M141" s="2">
        <v>45968</v>
      </c>
      <c r="N141" s="2">
        <v>46010</v>
      </c>
      <c r="O141" s="2">
        <v>46014</v>
      </c>
      <c r="P141" s="2">
        <v>46038</v>
      </c>
      <c r="Q141" s="2">
        <v>46038</v>
      </c>
      <c r="R141" s="2">
        <v>46059</v>
      </c>
      <c r="S141" s="1">
        <v>3</v>
      </c>
      <c r="W141" s="1">
        <f t="shared" si="38"/>
        <v>84</v>
      </c>
      <c r="X141" s="1">
        <f t="shared" si="39"/>
        <v>69</v>
      </c>
      <c r="Y141" s="1">
        <f t="shared" si="40"/>
        <v>0</v>
      </c>
      <c r="Z141" s="1">
        <f t="shared" si="44"/>
        <v>49</v>
      </c>
      <c r="AA141" s="1">
        <f t="shared" si="41"/>
        <v>2</v>
      </c>
      <c r="AB141" s="1">
        <f t="shared" si="45"/>
        <v>7</v>
      </c>
      <c r="AC141" s="1">
        <f t="shared" si="46"/>
        <v>40</v>
      </c>
      <c r="AD141" s="1">
        <f t="shared" si="42"/>
        <v>51</v>
      </c>
      <c r="AE141" s="1">
        <f t="shared" si="47"/>
        <v>34</v>
      </c>
      <c r="AF141" s="1" t="str">
        <f t="shared" si="48"/>
        <v>PAS DE DATE PAPIER</v>
      </c>
      <c r="AG141" s="1">
        <f t="shared" si="49"/>
        <v>19</v>
      </c>
      <c r="AH141" s="1">
        <f t="shared" si="50"/>
        <v>28</v>
      </c>
      <c r="AI141" s="1">
        <f t="shared" si="51"/>
        <v>32</v>
      </c>
      <c r="AJ141" s="1">
        <f t="shared" si="52"/>
        <v>2</v>
      </c>
      <c r="AK141" s="1">
        <f t="shared" si="37"/>
        <v>17</v>
      </c>
      <c r="AL141" s="1">
        <f t="shared" si="53"/>
        <v>2</v>
      </c>
      <c r="AM141" s="1">
        <f t="shared" si="43"/>
        <v>18</v>
      </c>
      <c r="AN141" s="1">
        <f t="shared" si="54"/>
        <v>15</v>
      </c>
    </row>
    <row r="142" spans="1:40" hidden="1" x14ac:dyDescent="0.3">
      <c r="A142" s="1">
        <v>25203</v>
      </c>
      <c r="B142" s="1" t="s">
        <v>17</v>
      </c>
      <c r="C142" s="3" t="s">
        <v>240</v>
      </c>
      <c r="D142" s="4">
        <v>3000</v>
      </c>
      <c r="E142" s="2" t="s">
        <v>241</v>
      </c>
      <c r="F142" s="2">
        <v>45944</v>
      </c>
      <c r="G142" s="2">
        <v>45945</v>
      </c>
      <c r="H142" s="2">
        <v>45958</v>
      </c>
      <c r="I142" s="2">
        <v>45944</v>
      </c>
      <c r="J142" s="2" t="s">
        <v>315</v>
      </c>
      <c r="L142" s="2">
        <v>45953</v>
      </c>
      <c r="M142" s="2" t="s">
        <v>199</v>
      </c>
      <c r="N142" s="2">
        <v>45965</v>
      </c>
      <c r="O142" s="2">
        <v>45961</v>
      </c>
      <c r="P142" s="2">
        <v>45996</v>
      </c>
      <c r="Q142" s="2">
        <v>45996</v>
      </c>
      <c r="R142" s="2">
        <v>45996</v>
      </c>
      <c r="S142" s="1">
        <v>1</v>
      </c>
      <c r="W142" s="1">
        <f t="shared" si="38"/>
        <v>38</v>
      </c>
      <c r="X142" s="1">
        <f t="shared" si="39"/>
        <v>38</v>
      </c>
      <c r="Y142" s="1">
        <f t="shared" si="40"/>
        <v>0</v>
      </c>
      <c r="Z142" s="1">
        <f t="shared" si="44"/>
        <v>15</v>
      </c>
      <c r="AA142" s="1">
        <f t="shared" si="41"/>
        <v>1</v>
      </c>
      <c r="AB142" s="1">
        <f t="shared" si="45"/>
        <v>9</v>
      </c>
      <c r="AC142" s="1">
        <f t="shared" si="46"/>
        <v>5</v>
      </c>
      <c r="AD142" s="1">
        <f t="shared" si="42"/>
        <v>13</v>
      </c>
      <c r="AE142" s="1">
        <f t="shared" si="47"/>
        <v>7</v>
      </c>
      <c r="AF142" s="1" t="str">
        <f t="shared" si="48"/>
        <v>PAS DE DATE PAPIER</v>
      </c>
      <c r="AG142" s="1" t="str">
        <f t="shared" si="49"/>
        <v>STOCK</v>
      </c>
      <c r="AH142" s="1">
        <f t="shared" si="50"/>
        <v>0</v>
      </c>
      <c r="AI142" s="1" t="str">
        <f t="shared" si="51"/>
        <v>ANC FAB</v>
      </c>
      <c r="AJ142" s="1">
        <f t="shared" si="52"/>
        <v>7</v>
      </c>
      <c r="AK142" s="1">
        <f t="shared" si="37"/>
        <v>6</v>
      </c>
      <c r="AL142" s="1">
        <f t="shared" si="53"/>
        <v>2</v>
      </c>
      <c r="AM142" s="1">
        <f t="shared" si="43"/>
        <v>23</v>
      </c>
      <c r="AN142" s="1">
        <f t="shared" si="54"/>
        <v>0</v>
      </c>
    </row>
    <row r="143" spans="1:40" hidden="1" x14ac:dyDescent="0.3">
      <c r="A143" s="1">
        <v>25204</v>
      </c>
      <c r="B143" s="1" t="s">
        <v>62</v>
      </c>
      <c r="C143" s="3" t="s">
        <v>242</v>
      </c>
      <c r="D143" s="4">
        <f>8400+3600+500+1000+2500</f>
        <v>16000</v>
      </c>
      <c r="E143" s="2" t="s">
        <v>311</v>
      </c>
      <c r="F143" s="2">
        <v>45945</v>
      </c>
      <c r="G143" s="2">
        <v>45965</v>
      </c>
      <c r="I143" s="2">
        <v>46000</v>
      </c>
      <c r="J143" s="2">
        <v>46003</v>
      </c>
      <c r="K143" s="2">
        <v>45975</v>
      </c>
      <c r="L143" s="2">
        <v>45992</v>
      </c>
      <c r="M143" s="2">
        <v>45995</v>
      </c>
      <c r="N143" s="2">
        <v>46014</v>
      </c>
      <c r="O143" s="2">
        <v>46014</v>
      </c>
      <c r="W143" s="1" t="str">
        <f t="shared" si="38"/>
        <v>NON LIVRE</v>
      </c>
      <c r="X143" s="1" t="str">
        <f t="shared" si="39"/>
        <v>NON LIVRE</v>
      </c>
      <c r="Y143" s="1" t="str">
        <f t="shared" si="40"/>
        <v>NON LIVRE</v>
      </c>
      <c r="Z143" s="1" t="str">
        <f t="shared" si="44"/>
        <v>NON LIVRE</v>
      </c>
      <c r="AA143" s="1" t="str">
        <f t="shared" si="41"/>
        <v>NON LIVRE</v>
      </c>
      <c r="AB143" s="1" t="str">
        <f t="shared" si="45"/>
        <v>NON LIVRE</v>
      </c>
      <c r="AC143" s="1" t="str">
        <f t="shared" si="46"/>
        <v>NON LIVRE</v>
      </c>
      <c r="AD143" s="1" t="str">
        <f t="shared" si="42"/>
        <v>NON LIVRE</v>
      </c>
      <c r="AE143" s="1" t="str">
        <f t="shared" si="47"/>
        <v>NON LIVRE</v>
      </c>
      <c r="AF143" s="1" t="str">
        <f t="shared" si="48"/>
        <v>NON LIVRE</v>
      </c>
      <c r="AG143" s="1" t="str">
        <f t="shared" si="49"/>
        <v>NON LIVRE</v>
      </c>
      <c r="AH143" s="1" t="str">
        <f t="shared" si="50"/>
        <v>NON LIVRE</v>
      </c>
      <c r="AI143" s="1" t="str">
        <f t="shared" si="51"/>
        <v>NON LIVRE</v>
      </c>
      <c r="AJ143" s="1" t="str">
        <f t="shared" si="52"/>
        <v>NON LIVRE</v>
      </c>
      <c r="AK143" s="1" t="str">
        <f t="shared" si="37"/>
        <v>NON LIVRE</v>
      </c>
      <c r="AL143" s="1" t="str">
        <f t="shared" si="53"/>
        <v>NON LIVRE</v>
      </c>
      <c r="AM143" s="1" t="str">
        <f t="shared" si="43"/>
        <v>NON LIVRE</v>
      </c>
      <c r="AN143" s="1" t="str">
        <f t="shared" si="54"/>
        <v>NON LIVRE</v>
      </c>
    </row>
    <row r="144" spans="1:40" hidden="1" x14ac:dyDescent="0.3">
      <c r="A144" s="1">
        <v>25205</v>
      </c>
      <c r="B144" s="1" t="s">
        <v>62</v>
      </c>
      <c r="C144" s="3" t="s">
        <v>243</v>
      </c>
      <c r="D144" s="4">
        <f>1000+250+150+350</f>
        <v>1750</v>
      </c>
      <c r="E144" s="2" t="s">
        <v>136</v>
      </c>
      <c r="F144" s="2">
        <v>45950</v>
      </c>
      <c r="G144" s="2">
        <v>45980</v>
      </c>
      <c r="H144" s="2">
        <v>46043</v>
      </c>
      <c r="I144" s="2">
        <v>46030</v>
      </c>
      <c r="J144" s="2">
        <v>46050</v>
      </c>
      <c r="L144" s="2">
        <v>46034</v>
      </c>
      <c r="M144" s="2">
        <v>45994</v>
      </c>
      <c r="N144" s="2">
        <v>46094</v>
      </c>
      <c r="O144" s="2">
        <v>46051</v>
      </c>
      <c r="P144" s="2">
        <v>46080</v>
      </c>
      <c r="Q144" s="2">
        <v>46078</v>
      </c>
      <c r="R144" s="2">
        <v>46115</v>
      </c>
      <c r="S144" s="1">
        <v>3</v>
      </c>
      <c r="W144" s="1">
        <f t="shared" si="38"/>
        <v>119</v>
      </c>
      <c r="X144" s="1">
        <f t="shared" si="39"/>
        <v>92</v>
      </c>
      <c r="Y144" s="1">
        <f t="shared" si="40"/>
        <v>-4</v>
      </c>
      <c r="Z144" s="1">
        <f t="shared" si="44"/>
        <v>104</v>
      </c>
      <c r="AA144" s="1">
        <f t="shared" si="41"/>
        <v>22</v>
      </c>
      <c r="AB144" s="1">
        <f t="shared" si="45"/>
        <v>45</v>
      </c>
      <c r="AC144" s="1">
        <f t="shared" si="46"/>
        <v>37</v>
      </c>
      <c r="AD144" s="1">
        <f t="shared" si="42"/>
        <v>73</v>
      </c>
      <c r="AE144" s="1">
        <f t="shared" si="47"/>
        <v>60</v>
      </c>
      <c r="AF144" s="1" t="str">
        <f t="shared" si="48"/>
        <v>PAS DE DATE PAPIER</v>
      </c>
      <c r="AG144" s="1">
        <f t="shared" si="49"/>
        <v>32</v>
      </c>
      <c r="AH144" s="1">
        <f t="shared" si="50"/>
        <v>58</v>
      </c>
      <c r="AI144" s="1">
        <f t="shared" si="51"/>
        <v>72</v>
      </c>
      <c r="AJ144" s="1">
        <f t="shared" si="52"/>
        <v>-14</v>
      </c>
      <c r="AK144" s="1">
        <f t="shared" si="37"/>
        <v>13</v>
      </c>
      <c r="AL144" s="1">
        <f t="shared" si="53"/>
        <v>31</v>
      </c>
      <c r="AM144" s="1">
        <f t="shared" si="43"/>
        <v>-14</v>
      </c>
      <c r="AN144" s="1">
        <f t="shared" si="54"/>
        <v>27</v>
      </c>
    </row>
    <row r="145" spans="1:40" hidden="1" x14ac:dyDescent="0.3">
      <c r="A145" s="1">
        <v>25206</v>
      </c>
      <c r="B145" s="1" t="s">
        <v>229</v>
      </c>
      <c r="C145" s="3" t="s">
        <v>179</v>
      </c>
      <c r="D145" s="4">
        <v>30</v>
      </c>
      <c r="E145" s="2" t="s">
        <v>179</v>
      </c>
      <c r="F145" s="2">
        <v>45953</v>
      </c>
      <c r="I145" s="2">
        <v>45958</v>
      </c>
      <c r="J145" s="2" t="s">
        <v>315</v>
      </c>
      <c r="L145" s="2">
        <v>45964</v>
      </c>
      <c r="M145" s="2" t="s">
        <v>199</v>
      </c>
      <c r="O145" s="2">
        <v>45967</v>
      </c>
      <c r="P145" s="2">
        <v>46003</v>
      </c>
      <c r="Q145" s="2">
        <v>46003</v>
      </c>
      <c r="R145" s="2">
        <v>46003</v>
      </c>
      <c r="S145" s="1">
        <v>1</v>
      </c>
      <c r="W145" s="1">
        <f t="shared" si="38"/>
        <v>36</v>
      </c>
      <c r="X145" s="1">
        <f t="shared" si="39"/>
        <v>36</v>
      </c>
      <c r="Y145" s="1">
        <f t="shared" si="40"/>
        <v>0</v>
      </c>
      <c r="Z145" s="1" t="str">
        <f t="shared" si="44"/>
        <v>PAS DE DEPART MATIERE</v>
      </c>
      <c r="AA145" s="1" t="str">
        <f t="shared" si="41"/>
        <v>PAS DE COMMANDE MATIERE</v>
      </c>
      <c r="AB145" s="1" t="str">
        <f t="shared" si="45"/>
        <v>PAS DE COMMANDE MATIERE</v>
      </c>
      <c r="AC145" s="1" t="str">
        <f t="shared" si="46"/>
        <v>PAS DE COMMANDE MATIERE</v>
      </c>
      <c r="AD145" s="1">
        <f t="shared" si="42"/>
        <v>10</v>
      </c>
      <c r="AE145" s="1">
        <f t="shared" si="47"/>
        <v>7</v>
      </c>
      <c r="AF145" s="1" t="str">
        <f t="shared" si="48"/>
        <v>PAS DE DATE PAPIER</v>
      </c>
      <c r="AG145" s="1" t="str">
        <f t="shared" si="49"/>
        <v>STOCK</v>
      </c>
      <c r="AH145" s="1">
        <f t="shared" si="50"/>
        <v>3</v>
      </c>
      <c r="AI145" s="1" t="str">
        <f t="shared" si="51"/>
        <v>ANC FAB</v>
      </c>
      <c r="AJ145" s="1">
        <f t="shared" si="52"/>
        <v>4</v>
      </c>
      <c r="AK145" s="1">
        <f t="shared" si="37"/>
        <v>3</v>
      </c>
      <c r="AL145" s="1">
        <f t="shared" si="53"/>
        <v>0</v>
      </c>
      <c r="AM145" s="1">
        <f t="shared" si="43"/>
        <v>26</v>
      </c>
      <c r="AN145" s="1" t="str">
        <f t="shared" si="54"/>
        <v>PAS D'IMPRESSION</v>
      </c>
    </row>
    <row r="146" spans="1:40" hidden="1" x14ac:dyDescent="0.3">
      <c r="A146" s="1">
        <v>25207</v>
      </c>
      <c r="B146" s="1" t="s">
        <v>9</v>
      </c>
      <c r="C146" s="3" t="s">
        <v>244</v>
      </c>
      <c r="D146" s="4">
        <v>2000</v>
      </c>
      <c r="E146" s="2" t="s">
        <v>310</v>
      </c>
      <c r="F146" s="2">
        <v>45958</v>
      </c>
      <c r="G146" s="2">
        <v>45960</v>
      </c>
      <c r="H146" s="2">
        <v>45987</v>
      </c>
      <c r="I146" s="2">
        <v>45981</v>
      </c>
      <c r="J146" s="2" t="s">
        <v>315</v>
      </c>
      <c r="K146" s="2">
        <v>45981</v>
      </c>
      <c r="L146" s="2">
        <v>45988</v>
      </c>
      <c r="M146" s="2">
        <v>45995</v>
      </c>
      <c r="N146" s="2">
        <v>45994</v>
      </c>
      <c r="O146" s="2">
        <v>46002</v>
      </c>
      <c r="P146" s="2">
        <v>46045</v>
      </c>
      <c r="Q146" s="2">
        <v>46045</v>
      </c>
      <c r="R146" s="2">
        <v>46059</v>
      </c>
      <c r="S146" s="1">
        <v>3</v>
      </c>
      <c r="W146" s="1">
        <f t="shared" si="38"/>
        <v>73</v>
      </c>
      <c r="X146" s="1">
        <f t="shared" si="39"/>
        <v>63</v>
      </c>
      <c r="Y146" s="1">
        <f t="shared" si="40"/>
        <v>0</v>
      </c>
      <c r="Z146" s="1">
        <f t="shared" si="44"/>
        <v>26</v>
      </c>
      <c r="AA146" s="1">
        <f t="shared" si="41"/>
        <v>2</v>
      </c>
      <c r="AB146" s="1">
        <f t="shared" si="45"/>
        <v>19</v>
      </c>
      <c r="AC146" s="1">
        <f t="shared" si="46"/>
        <v>5</v>
      </c>
      <c r="AD146" s="1">
        <f t="shared" si="42"/>
        <v>32</v>
      </c>
      <c r="AE146" s="1">
        <f t="shared" si="47"/>
        <v>22</v>
      </c>
      <c r="AF146" s="1">
        <f t="shared" si="48"/>
        <v>17</v>
      </c>
      <c r="AG146" s="1">
        <f t="shared" si="49"/>
        <v>27</v>
      </c>
      <c r="AH146" s="1">
        <f t="shared" si="50"/>
        <v>17</v>
      </c>
      <c r="AI146" s="1" t="str">
        <f t="shared" si="51"/>
        <v>ANC FAB</v>
      </c>
      <c r="AJ146" s="1">
        <f t="shared" si="52"/>
        <v>5</v>
      </c>
      <c r="AK146" s="1">
        <f t="shared" si="37"/>
        <v>10</v>
      </c>
      <c r="AL146" s="1">
        <f t="shared" si="53"/>
        <v>6</v>
      </c>
      <c r="AM146" s="1">
        <f t="shared" si="43"/>
        <v>31</v>
      </c>
      <c r="AN146" s="1">
        <f t="shared" si="54"/>
        <v>10</v>
      </c>
    </row>
    <row r="147" spans="1:40" hidden="1" x14ac:dyDescent="0.3">
      <c r="A147" s="1">
        <v>25208</v>
      </c>
      <c r="B147" s="1" t="s">
        <v>245</v>
      </c>
      <c r="C147" s="3" t="s">
        <v>246</v>
      </c>
      <c r="D147" s="4">
        <v>1160</v>
      </c>
      <c r="E147" s="2" t="s">
        <v>246</v>
      </c>
      <c r="F147" s="2">
        <v>45958</v>
      </c>
      <c r="G147" s="2">
        <v>45960</v>
      </c>
      <c r="H147" s="2">
        <v>45973</v>
      </c>
      <c r="I147" s="2">
        <v>46008</v>
      </c>
      <c r="L147" s="2">
        <v>46013</v>
      </c>
      <c r="M147" s="2">
        <v>45995</v>
      </c>
      <c r="W147" s="1" t="str">
        <f t="shared" si="38"/>
        <v>NON LIVRE</v>
      </c>
      <c r="X147" s="1" t="str">
        <f t="shared" si="39"/>
        <v>NON LIVRE</v>
      </c>
      <c r="Y147" s="1" t="str">
        <f t="shared" si="40"/>
        <v>NON LIVRE</v>
      </c>
      <c r="Z147" s="1" t="str">
        <f t="shared" si="44"/>
        <v>NON LIVRE</v>
      </c>
      <c r="AA147" s="1" t="str">
        <f t="shared" si="41"/>
        <v>NON LIVRE</v>
      </c>
      <c r="AB147" s="1" t="str">
        <f t="shared" si="45"/>
        <v>NON LIVRE</v>
      </c>
      <c r="AC147" s="1" t="str">
        <f t="shared" si="46"/>
        <v>NON LIVRE</v>
      </c>
      <c r="AD147" s="1" t="str">
        <f t="shared" si="42"/>
        <v>NON LIVRE</v>
      </c>
      <c r="AE147" s="1" t="str">
        <f t="shared" si="47"/>
        <v>NON LIVRE</v>
      </c>
      <c r="AF147" s="1" t="str">
        <f t="shared" si="48"/>
        <v>NON LIVRE</v>
      </c>
      <c r="AG147" s="1" t="str">
        <f t="shared" si="49"/>
        <v>NON LIVRE</v>
      </c>
      <c r="AH147" s="1" t="str">
        <f t="shared" si="50"/>
        <v>NON LIVRE</v>
      </c>
      <c r="AI147" s="1" t="str">
        <f t="shared" si="51"/>
        <v>NON LIVRE</v>
      </c>
      <c r="AJ147" s="1" t="str">
        <f t="shared" si="52"/>
        <v>NON LIVRE</v>
      </c>
      <c r="AK147" s="1" t="str">
        <f t="shared" si="37"/>
        <v>NON LIVRE</v>
      </c>
      <c r="AL147" s="1" t="str">
        <f t="shared" si="53"/>
        <v>NON LIVRE</v>
      </c>
      <c r="AM147" s="1" t="str">
        <f t="shared" si="43"/>
        <v>NON LIVRE</v>
      </c>
      <c r="AN147" s="1" t="str">
        <f t="shared" si="54"/>
        <v>NON LIVRE</v>
      </c>
    </row>
    <row r="148" spans="1:40" hidden="1" x14ac:dyDescent="0.3">
      <c r="A148" s="1">
        <v>25209</v>
      </c>
      <c r="B148" s="1" t="s">
        <v>35</v>
      </c>
      <c r="C148" s="3" t="s">
        <v>247</v>
      </c>
      <c r="D148" s="4">
        <v>1200</v>
      </c>
      <c r="E148" s="2" t="s">
        <v>149</v>
      </c>
      <c r="F148" s="2">
        <v>45958</v>
      </c>
      <c r="G148" s="2">
        <v>46035</v>
      </c>
      <c r="H148" s="2">
        <v>46083</v>
      </c>
      <c r="I148" s="2">
        <v>46059</v>
      </c>
      <c r="J148" s="2">
        <v>46062</v>
      </c>
      <c r="L148" s="2">
        <v>46071</v>
      </c>
      <c r="M148" s="2">
        <v>46360</v>
      </c>
      <c r="N148" s="2">
        <v>46094</v>
      </c>
      <c r="O148" s="2">
        <v>46080</v>
      </c>
      <c r="P148" s="2">
        <v>46136</v>
      </c>
      <c r="Q148" s="2">
        <v>46122</v>
      </c>
      <c r="R148" s="2">
        <v>46129</v>
      </c>
      <c r="S148" s="1">
        <v>2</v>
      </c>
      <c r="W148" s="1">
        <f t="shared" si="38"/>
        <v>123</v>
      </c>
      <c r="X148" s="1">
        <f t="shared" si="39"/>
        <v>118</v>
      </c>
      <c r="Y148" s="1">
        <f t="shared" si="40"/>
        <v>-12</v>
      </c>
      <c r="Z148" s="1">
        <f t="shared" si="44"/>
        <v>98</v>
      </c>
      <c r="AA148" s="1">
        <f t="shared" si="41"/>
        <v>55</v>
      </c>
      <c r="AB148" s="1">
        <f t="shared" si="45"/>
        <v>34</v>
      </c>
      <c r="AC148" s="1">
        <f t="shared" si="46"/>
        <v>9</v>
      </c>
      <c r="AD148" s="1">
        <f t="shared" si="42"/>
        <v>88</v>
      </c>
      <c r="AE148" s="1">
        <f t="shared" si="47"/>
        <v>81</v>
      </c>
      <c r="AF148" s="1" t="str">
        <f t="shared" si="48"/>
        <v>PAS DE DATE PAPIER</v>
      </c>
      <c r="AG148" s="1">
        <f t="shared" si="49"/>
        <v>288</v>
      </c>
      <c r="AH148" s="1">
        <f t="shared" si="50"/>
        <v>73</v>
      </c>
      <c r="AI148" s="1">
        <f t="shared" si="51"/>
        <v>74</v>
      </c>
      <c r="AJ148" s="1">
        <f t="shared" si="52"/>
        <v>7</v>
      </c>
      <c r="AK148" s="1">
        <f t="shared" si="37"/>
        <v>7</v>
      </c>
      <c r="AL148" s="1">
        <f t="shared" si="53"/>
        <v>10</v>
      </c>
      <c r="AM148" s="1">
        <f t="shared" si="43"/>
        <v>20</v>
      </c>
      <c r="AN148" s="1">
        <f t="shared" si="54"/>
        <v>5</v>
      </c>
    </row>
    <row r="149" spans="1:40" hidden="1" x14ac:dyDescent="0.3">
      <c r="A149" s="1">
        <v>25210</v>
      </c>
      <c r="B149" s="1" t="s">
        <v>35</v>
      </c>
      <c r="C149" s="3" t="s">
        <v>248</v>
      </c>
      <c r="D149" s="4">
        <v>3500</v>
      </c>
      <c r="E149" s="2" t="s">
        <v>309</v>
      </c>
      <c r="F149" s="2">
        <v>45958</v>
      </c>
      <c r="G149" s="2">
        <v>46030</v>
      </c>
      <c r="H149" s="2">
        <v>46042</v>
      </c>
      <c r="I149" s="2">
        <v>46014</v>
      </c>
      <c r="J149" s="2">
        <v>46030</v>
      </c>
      <c r="K149" s="2">
        <v>45995</v>
      </c>
      <c r="L149" s="2">
        <v>46056</v>
      </c>
      <c r="M149" s="2">
        <v>45995</v>
      </c>
      <c r="N149" s="2">
        <v>46073</v>
      </c>
      <c r="O149" s="2">
        <v>46062</v>
      </c>
      <c r="P149" s="2">
        <v>46094</v>
      </c>
      <c r="Q149" s="2">
        <v>46094</v>
      </c>
      <c r="R149" s="2">
        <v>46115</v>
      </c>
      <c r="S149" s="1">
        <v>3</v>
      </c>
      <c r="W149" s="1">
        <f t="shared" si="38"/>
        <v>113</v>
      </c>
      <c r="X149" s="1">
        <f t="shared" si="39"/>
        <v>98</v>
      </c>
      <c r="Y149" s="1">
        <f t="shared" si="40"/>
        <v>0</v>
      </c>
      <c r="Z149" s="1">
        <f t="shared" si="44"/>
        <v>83</v>
      </c>
      <c r="AA149" s="1">
        <f t="shared" si="41"/>
        <v>52</v>
      </c>
      <c r="AB149" s="1">
        <f t="shared" si="45"/>
        <v>8</v>
      </c>
      <c r="AC149" s="1">
        <f t="shared" si="46"/>
        <v>23</v>
      </c>
      <c r="AD149" s="1">
        <f t="shared" si="42"/>
        <v>74</v>
      </c>
      <c r="AE149" s="1">
        <f t="shared" si="47"/>
        <v>70</v>
      </c>
      <c r="AF149" s="1">
        <f t="shared" si="48"/>
        <v>27</v>
      </c>
      <c r="AG149" s="1">
        <f t="shared" si="49"/>
        <v>27</v>
      </c>
      <c r="AH149" s="1">
        <f t="shared" si="50"/>
        <v>40</v>
      </c>
      <c r="AI149" s="1">
        <f t="shared" si="51"/>
        <v>52</v>
      </c>
      <c r="AJ149" s="1">
        <f t="shared" si="52"/>
        <v>18</v>
      </c>
      <c r="AK149" s="1">
        <f t="shared" si="37"/>
        <v>4</v>
      </c>
      <c r="AL149" s="1">
        <f t="shared" si="53"/>
        <v>9</v>
      </c>
      <c r="AM149" s="1">
        <f t="shared" si="43"/>
        <v>15</v>
      </c>
      <c r="AN149" s="1">
        <f t="shared" si="54"/>
        <v>15</v>
      </c>
    </row>
    <row r="150" spans="1:40" hidden="1" x14ac:dyDescent="0.3">
      <c r="A150" s="1">
        <v>25211</v>
      </c>
      <c r="B150" s="1" t="s">
        <v>35</v>
      </c>
      <c r="C150" s="3" t="s">
        <v>249</v>
      </c>
      <c r="D150" s="4">
        <v>500</v>
      </c>
      <c r="E150" s="2" t="s">
        <v>152</v>
      </c>
      <c r="F150" s="2">
        <v>45958</v>
      </c>
      <c r="W150" s="1" t="str">
        <f t="shared" si="38"/>
        <v>NON LIVRE</v>
      </c>
      <c r="X150" s="1" t="str">
        <f t="shared" si="39"/>
        <v>NON LIVRE</v>
      </c>
      <c r="Y150" s="1" t="str">
        <f t="shared" si="40"/>
        <v>NON LIVRE</v>
      </c>
      <c r="Z150" s="1" t="str">
        <f t="shared" si="44"/>
        <v>NON LIVRE</v>
      </c>
      <c r="AA150" s="1" t="str">
        <f t="shared" si="41"/>
        <v>NON LIVRE</v>
      </c>
      <c r="AB150" s="1" t="str">
        <f t="shared" si="45"/>
        <v>NON LIVRE</v>
      </c>
      <c r="AC150" s="1" t="str">
        <f t="shared" si="46"/>
        <v>NON LIVRE</v>
      </c>
      <c r="AD150" s="1" t="str">
        <f t="shared" si="42"/>
        <v>NON LIVRE</v>
      </c>
      <c r="AE150" s="1" t="str">
        <f t="shared" si="47"/>
        <v>NON LIVRE</v>
      </c>
      <c r="AF150" s="1" t="str">
        <f t="shared" si="48"/>
        <v>NON LIVRE</v>
      </c>
      <c r="AG150" s="1" t="str">
        <f t="shared" si="49"/>
        <v>NON LIVRE</v>
      </c>
      <c r="AH150" s="1" t="str">
        <f t="shared" si="50"/>
        <v>NON LIVRE</v>
      </c>
      <c r="AI150" s="1" t="str">
        <f t="shared" si="51"/>
        <v>NON LIVRE</v>
      </c>
      <c r="AJ150" s="1" t="str">
        <f t="shared" si="52"/>
        <v>NON LIVRE</v>
      </c>
      <c r="AK150" s="1" t="str">
        <f t="shared" si="37"/>
        <v>NON LIVRE</v>
      </c>
      <c r="AL150" s="1" t="str">
        <f t="shared" si="53"/>
        <v>NON LIVRE</v>
      </c>
      <c r="AM150" s="1" t="str">
        <f t="shared" si="43"/>
        <v>NON LIVRE</v>
      </c>
      <c r="AN150" s="1" t="str">
        <f t="shared" si="54"/>
        <v>NON LIVRE</v>
      </c>
    </row>
    <row r="151" spans="1:40" hidden="1" x14ac:dyDescent="0.3">
      <c r="A151" s="1">
        <v>25212</v>
      </c>
      <c r="B151" s="1" t="s">
        <v>62</v>
      </c>
      <c r="C151" s="3" t="s">
        <v>250</v>
      </c>
      <c r="D151" s="4">
        <f>3300+2000</f>
        <v>5300</v>
      </c>
      <c r="F151" s="2">
        <v>45958</v>
      </c>
      <c r="G151" s="2">
        <v>45999</v>
      </c>
      <c r="I151" s="2">
        <v>46003</v>
      </c>
      <c r="J151" s="2">
        <v>46010</v>
      </c>
      <c r="K151" s="2">
        <v>45980</v>
      </c>
      <c r="L151" s="2">
        <v>46013</v>
      </c>
      <c r="M151" s="2" t="s">
        <v>199</v>
      </c>
      <c r="N151" s="2">
        <v>46014</v>
      </c>
      <c r="O151" s="2">
        <v>46031</v>
      </c>
      <c r="P151" s="2">
        <v>46115</v>
      </c>
      <c r="Q151" s="2">
        <v>46115</v>
      </c>
      <c r="R151" s="2">
        <v>46115</v>
      </c>
      <c r="S151" s="1">
        <v>2</v>
      </c>
      <c r="W151" s="1">
        <f t="shared" si="38"/>
        <v>113</v>
      </c>
      <c r="X151" s="1">
        <f t="shared" si="39"/>
        <v>113</v>
      </c>
      <c r="Y151" s="1">
        <f t="shared" si="40"/>
        <v>0</v>
      </c>
      <c r="Z151" s="1">
        <f t="shared" si="44"/>
        <v>40</v>
      </c>
      <c r="AA151" s="1">
        <f t="shared" si="41"/>
        <v>29</v>
      </c>
      <c r="AB151" s="1" t="str">
        <f t="shared" si="45"/>
        <v>PAS DE COMMANDE MATIERE</v>
      </c>
      <c r="AC151" s="1">
        <f t="shared" si="46"/>
        <v>32866</v>
      </c>
      <c r="AD151" s="1">
        <f t="shared" si="42"/>
        <v>53</v>
      </c>
      <c r="AE151" s="1">
        <f t="shared" si="47"/>
        <v>39</v>
      </c>
      <c r="AF151" s="1">
        <f t="shared" si="48"/>
        <v>16</v>
      </c>
      <c r="AG151" s="1" t="str">
        <f t="shared" si="49"/>
        <v>STOCK</v>
      </c>
      <c r="AH151" s="1">
        <f t="shared" si="50"/>
        <v>33</v>
      </c>
      <c r="AI151" s="1">
        <f t="shared" si="51"/>
        <v>38</v>
      </c>
      <c r="AJ151" s="1">
        <f t="shared" si="52"/>
        <v>1</v>
      </c>
      <c r="AK151" s="1">
        <f t="shared" si="37"/>
        <v>14</v>
      </c>
      <c r="AL151" s="1">
        <f t="shared" si="53"/>
        <v>13</v>
      </c>
      <c r="AM151" s="1">
        <f t="shared" si="43"/>
        <v>60</v>
      </c>
      <c r="AN151" s="1">
        <f t="shared" si="54"/>
        <v>0</v>
      </c>
    </row>
    <row r="152" spans="1:40" hidden="1" x14ac:dyDescent="0.3">
      <c r="A152" s="1">
        <v>25213</v>
      </c>
      <c r="B152" s="1" t="s">
        <v>17</v>
      </c>
      <c r="C152" s="3" t="s">
        <v>251</v>
      </c>
      <c r="D152" s="4">
        <v>3000</v>
      </c>
      <c r="E152" s="2" t="s">
        <v>136</v>
      </c>
      <c r="F152" s="2">
        <v>45964</v>
      </c>
      <c r="G152" s="2">
        <v>45994</v>
      </c>
      <c r="H152" s="2">
        <v>46028</v>
      </c>
      <c r="I152" s="2">
        <v>46007</v>
      </c>
      <c r="J152" s="2">
        <v>46049</v>
      </c>
      <c r="L152" s="2">
        <v>46057</v>
      </c>
      <c r="M152" s="2" t="s">
        <v>199</v>
      </c>
      <c r="N152" s="2">
        <v>46063</v>
      </c>
      <c r="O152" s="2">
        <v>46066</v>
      </c>
      <c r="P152" s="2">
        <v>46094</v>
      </c>
      <c r="Q152" s="2">
        <v>46094</v>
      </c>
      <c r="R152" s="2">
        <v>46119</v>
      </c>
      <c r="S152" s="1">
        <v>3</v>
      </c>
      <c r="W152" s="1">
        <f t="shared" si="38"/>
        <v>111</v>
      </c>
      <c r="X152" s="1">
        <f t="shared" si="39"/>
        <v>94</v>
      </c>
      <c r="Y152" s="1">
        <f t="shared" si="40"/>
        <v>0</v>
      </c>
      <c r="Z152" s="1">
        <f t="shared" si="44"/>
        <v>71</v>
      </c>
      <c r="AA152" s="1">
        <f t="shared" si="41"/>
        <v>22</v>
      </c>
      <c r="AB152" s="1">
        <f t="shared" si="45"/>
        <v>24</v>
      </c>
      <c r="AC152" s="1">
        <f t="shared" si="46"/>
        <v>25</v>
      </c>
      <c r="AD152" s="1">
        <f t="shared" si="42"/>
        <v>74</v>
      </c>
      <c r="AE152" s="1">
        <f t="shared" si="47"/>
        <v>67</v>
      </c>
      <c r="AF152" s="1" t="str">
        <f t="shared" si="48"/>
        <v>PAS DE DATE PAPIER</v>
      </c>
      <c r="AG152" s="1" t="str">
        <f t="shared" si="49"/>
        <v>STOCK</v>
      </c>
      <c r="AH152" s="1">
        <f t="shared" si="50"/>
        <v>31</v>
      </c>
      <c r="AI152" s="1">
        <f t="shared" si="51"/>
        <v>61</v>
      </c>
      <c r="AJ152" s="1">
        <f t="shared" si="52"/>
        <v>6</v>
      </c>
      <c r="AK152" s="1">
        <f t="shared" si="37"/>
        <v>7</v>
      </c>
      <c r="AL152" s="1">
        <f t="shared" si="53"/>
        <v>3</v>
      </c>
      <c r="AM152" s="1">
        <f t="shared" si="43"/>
        <v>20</v>
      </c>
      <c r="AN152" s="1">
        <f t="shared" si="54"/>
        <v>17</v>
      </c>
    </row>
    <row r="153" spans="1:40" hidden="1" x14ac:dyDescent="0.3">
      <c r="A153" s="1">
        <v>25214</v>
      </c>
      <c r="B153" s="1" t="s">
        <v>17</v>
      </c>
      <c r="C153" s="3" t="s">
        <v>252</v>
      </c>
      <c r="D153" s="4">
        <v>2000</v>
      </c>
      <c r="E153" s="2" t="s">
        <v>165</v>
      </c>
      <c r="F153" s="2">
        <v>45964</v>
      </c>
      <c r="G153" s="2">
        <v>45967</v>
      </c>
      <c r="H153" s="2">
        <v>45985</v>
      </c>
      <c r="I153" s="2">
        <v>45994</v>
      </c>
      <c r="J153" s="2">
        <v>46009</v>
      </c>
      <c r="L153" s="2">
        <v>46021</v>
      </c>
      <c r="M153" s="2">
        <v>46029</v>
      </c>
      <c r="N153" s="2">
        <v>46031</v>
      </c>
      <c r="O153" s="2">
        <v>46031</v>
      </c>
      <c r="P153" s="2">
        <v>46059</v>
      </c>
      <c r="Q153" s="2">
        <v>46059</v>
      </c>
      <c r="R153" s="2">
        <v>46059</v>
      </c>
      <c r="S153" s="1">
        <v>1</v>
      </c>
      <c r="W153" s="1">
        <f t="shared" si="38"/>
        <v>69</v>
      </c>
      <c r="X153" s="1">
        <f t="shared" si="39"/>
        <v>69</v>
      </c>
      <c r="Y153" s="1">
        <f t="shared" si="40"/>
        <v>0</v>
      </c>
      <c r="Z153" s="1">
        <f t="shared" si="44"/>
        <v>49</v>
      </c>
      <c r="AA153" s="1">
        <f t="shared" si="41"/>
        <v>3</v>
      </c>
      <c r="AB153" s="1">
        <f t="shared" si="45"/>
        <v>12</v>
      </c>
      <c r="AC153" s="1">
        <f t="shared" si="46"/>
        <v>34</v>
      </c>
      <c r="AD153" s="1">
        <f t="shared" si="42"/>
        <v>49</v>
      </c>
      <c r="AE153" s="1">
        <f t="shared" si="47"/>
        <v>41</v>
      </c>
      <c r="AF153" s="1" t="str">
        <f t="shared" si="48"/>
        <v>PAS DE DATE PAPIER</v>
      </c>
      <c r="AG153" s="1">
        <f t="shared" si="49"/>
        <v>47</v>
      </c>
      <c r="AH153" s="1">
        <f t="shared" si="50"/>
        <v>22</v>
      </c>
      <c r="AI153" s="1">
        <f t="shared" si="51"/>
        <v>33</v>
      </c>
      <c r="AJ153" s="1">
        <f t="shared" si="52"/>
        <v>8</v>
      </c>
      <c r="AK153" s="1">
        <f t="shared" si="37"/>
        <v>8</v>
      </c>
      <c r="AL153" s="1">
        <f t="shared" si="53"/>
        <v>0</v>
      </c>
      <c r="AM153" s="1">
        <f t="shared" si="43"/>
        <v>20</v>
      </c>
      <c r="AN153" s="1">
        <f t="shared" si="54"/>
        <v>0</v>
      </c>
    </row>
    <row r="154" spans="1:40" hidden="1" x14ac:dyDescent="0.3">
      <c r="A154" s="1">
        <v>25215</v>
      </c>
      <c r="B154" s="1" t="s">
        <v>17</v>
      </c>
      <c r="C154" s="3" t="s">
        <v>253</v>
      </c>
      <c r="D154" s="4">
        <v>2500</v>
      </c>
      <c r="E154" s="2" t="s">
        <v>136</v>
      </c>
      <c r="F154" s="2">
        <v>45964</v>
      </c>
      <c r="W154" s="1" t="str">
        <f t="shared" si="38"/>
        <v>NON LIVRE</v>
      </c>
      <c r="X154" s="1" t="str">
        <f t="shared" si="39"/>
        <v>NON LIVRE</v>
      </c>
      <c r="Y154" s="1" t="str">
        <f t="shared" si="40"/>
        <v>NON LIVRE</v>
      </c>
      <c r="Z154" s="1" t="str">
        <f t="shared" si="44"/>
        <v>NON LIVRE</v>
      </c>
      <c r="AA154" s="1" t="str">
        <f t="shared" si="41"/>
        <v>NON LIVRE</v>
      </c>
      <c r="AB154" s="1" t="str">
        <f t="shared" si="45"/>
        <v>NON LIVRE</v>
      </c>
      <c r="AC154" s="1" t="str">
        <f t="shared" si="46"/>
        <v>NON LIVRE</v>
      </c>
      <c r="AD154" s="1" t="str">
        <f t="shared" si="42"/>
        <v>NON LIVRE</v>
      </c>
      <c r="AE154" s="1" t="str">
        <f t="shared" si="47"/>
        <v>NON LIVRE</v>
      </c>
      <c r="AF154" s="1" t="str">
        <f t="shared" si="48"/>
        <v>NON LIVRE</v>
      </c>
      <c r="AG154" s="1" t="str">
        <f t="shared" si="49"/>
        <v>NON LIVRE</v>
      </c>
      <c r="AH154" s="1" t="str">
        <f t="shared" si="50"/>
        <v>NON LIVRE</v>
      </c>
      <c r="AI154" s="1" t="str">
        <f t="shared" si="51"/>
        <v>NON LIVRE</v>
      </c>
      <c r="AJ154" s="1" t="str">
        <f t="shared" si="52"/>
        <v>NON LIVRE</v>
      </c>
      <c r="AK154" s="1" t="str">
        <f t="shared" si="37"/>
        <v>NON LIVRE</v>
      </c>
      <c r="AL154" s="1" t="str">
        <f t="shared" si="53"/>
        <v>NON LIVRE</v>
      </c>
      <c r="AM154" s="1" t="str">
        <f t="shared" si="43"/>
        <v>NON LIVRE</v>
      </c>
      <c r="AN154" s="1" t="str">
        <f t="shared" si="54"/>
        <v>NON LIVRE</v>
      </c>
    </row>
    <row r="155" spans="1:40" hidden="1" x14ac:dyDescent="0.3">
      <c r="A155" s="1">
        <v>25216</v>
      </c>
      <c r="B155" s="1" t="s">
        <v>62</v>
      </c>
      <c r="C155" s="3" t="s">
        <v>190</v>
      </c>
      <c r="D155" s="4">
        <v>200</v>
      </c>
      <c r="E155" s="2" t="s">
        <v>190</v>
      </c>
      <c r="F155" s="2">
        <v>45964</v>
      </c>
      <c r="G155" s="2">
        <v>45964</v>
      </c>
      <c r="H155" s="2">
        <v>46042</v>
      </c>
      <c r="I155" s="2">
        <v>45982</v>
      </c>
      <c r="L155" s="2">
        <v>45987</v>
      </c>
      <c r="N155" s="2">
        <v>46045</v>
      </c>
      <c r="O155" s="2">
        <v>46015</v>
      </c>
      <c r="P155" s="2">
        <v>46080</v>
      </c>
      <c r="Q155" s="2">
        <v>46073</v>
      </c>
      <c r="R155" s="2">
        <v>46073</v>
      </c>
      <c r="S155" s="1">
        <v>1</v>
      </c>
      <c r="W155" s="1">
        <f t="shared" si="38"/>
        <v>79</v>
      </c>
      <c r="X155" s="1">
        <f t="shared" si="39"/>
        <v>79</v>
      </c>
      <c r="Y155" s="1">
        <f t="shared" si="40"/>
        <v>-7</v>
      </c>
      <c r="Z155" s="1">
        <f t="shared" si="44"/>
        <v>59</v>
      </c>
      <c r="AA155" s="1">
        <f t="shared" si="41"/>
        <v>0</v>
      </c>
      <c r="AB155" s="1">
        <f t="shared" si="45"/>
        <v>56</v>
      </c>
      <c r="AC155" s="1">
        <f t="shared" si="46"/>
        <v>3</v>
      </c>
      <c r="AD155" s="1">
        <f t="shared" si="42"/>
        <v>37</v>
      </c>
      <c r="AE155" s="1">
        <f t="shared" si="47"/>
        <v>17</v>
      </c>
      <c r="AF155" s="1" t="str">
        <f t="shared" si="48"/>
        <v>PAS DE DATE PAPIER</v>
      </c>
      <c r="AG155" s="1" t="str">
        <f t="shared" si="49"/>
        <v>PAS DE DATE CARTON</v>
      </c>
      <c r="AH155" s="1">
        <f t="shared" si="50"/>
        <v>14</v>
      </c>
      <c r="AI155" s="1" t="str">
        <f t="shared" si="51"/>
        <v>PAS DE DATE VALIDATION MODELE CLIENT</v>
      </c>
      <c r="AJ155" s="1">
        <f t="shared" si="52"/>
        <v>3</v>
      </c>
      <c r="AK155" s="1">
        <f t="shared" si="37"/>
        <v>20</v>
      </c>
      <c r="AL155" s="1">
        <f t="shared" si="53"/>
        <v>22</v>
      </c>
      <c r="AM155" s="1">
        <f t="shared" si="43"/>
        <v>20</v>
      </c>
      <c r="AN155" s="1">
        <f t="shared" si="54"/>
        <v>0</v>
      </c>
    </row>
    <row r="156" spans="1:40" hidden="1" x14ac:dyDescent="0.3">
      <c r="A156" s="1">
        <v>25217</v>
      </c>
      <c r="B156" s="1" t="s">
        <v>254</v>
      </c>
      <c r="C156" s="3" t="s">
        <v>255</v>
      </c>
      <c r="D156" s="4">
        <v>400</v>
      </c>
      <c r="E156" s="2" t="s">
        <v>308</v>
      </c>
      <c r="F156" s="2">
        <v>45965</v>
      </c>
      <c r="G156" s="2">
        <v>45965</v>
      </c>
      <c r="W156" s="1" t="str">
        <f t="shared" si="38"/>
        <v>NON LIVRE</v>
      </c>
      <c r="X156" s="1" t="str">
        <f t="shared" si="39"/>
        <v>NON LIVRE</v>
      </c>
      <c r="Y156" s="1" t="str">
        <f t="shared" si="40"/>
        <v>NON LIVRE</v>
      </c>
      <c r="Z156" s="1" t="str">
        <f t="shared" si="44"/>
        <v>NON LIVRE</v>
      </c>
      <c r="AA156" s="1" t="str">
        <f t="shared" si="41"/>
        <v>NON LIVRE</v>
      </c>
      <c r="AB156" s="1" t="str">
        <f t="shared" si="45"/>
        <v>NON LIVRE</v>
      </c>
      <c r="AC156" s="1" t="str">
        <f t="shared" si="46"/>
        <v>NON LIVRE</v>
      </c>
      <c r="AD156" s="1" t="str">
        <f t="shared" si="42"/>
        <v>NON LIVRE</v>
      </c>
      <c r="AE156" s="1" t="str">
        <f t="shared" si="47"/>
        <v>NON LIVRE</v>
      </c>
      <c r="AF156" s="1" t="str">
        <f t="shared" si="48"/>
        <v>NON LIVRE</v>
      </c>
      <c r="AG156" s="1" t="str">
        <f t="shared" si="49"/>
        <v>NON LIVRE</v>
      </c>
      <c r="AH156" s="1" t="str">
        <f t="shared" si="50"/>
        <v>NON LIVRE</v>
      </c>
      <c r="AI156" s="1" t="str">
        <f t="shared" si="51"/>
        <v>NON LIVRE</v>
      </c>
      <c r="AJ156" s="1" t="str">
        <f t="shared" si="52"/>
        <v>NON LIVRE</v>
      </c>
      <c r="AK156" s="1" t="str">
        <f t="shared" si="37"/>
        <v>NON LIVRE</v>
      </c>
      <c r="AL156" s="1" t="str">
        <f t="shared" si="53"/>
        <v>NON LIVRE</v>
      </c>
      <c r="AM156" s="1" t="str">
        <f t="shared" si="43"/>
        <v>NON LIVRE</v>
      </c>
      <c r="AN156" s="1" t="str">
        <f t="shared" si="54"/>
        <v>NON LIVRE</v>
      </c>
    </row>
    <row r="157" spans="1:40" hidden="1" x14ac:dyDescent="0.3">
      <c r="A157" s="1">
        <v>25218</v>
      </c>
      <c r="B157" s="1" t="s">
        <v>254</v>
      </c>
      <c r="C157" s="3" t="s">
        <v>256</v>
      </c>
      <c r="D157" s="4">
        <v>300</v>
      </c>
      <c r="E157" s="2" t="s">
        <v>257</v>
      </c>
      <c r="F157" s="2">
        <v>45965</v>
      </c>
      <c r="G157" s="2">
        <v>45965</v>
      </c>
      <c r="W157" s="1" t="str">
        <f t="shared" si="38"/>
        <v>NON LIVRE</v>
      </c>
      <c r="X157" s="1" t="str">
        <f t="shared" si="39"/>
        <v>NON LIVRE</v>
      </c>
      <c r="Y157" s="1" t="str">
        <f t="shared" si="40"/>
        <v>NON LIVRE</v>
      </c>
      <c r="Z157" s="1" t="str">
        <f t="shared" si="44"/>
        <v>NON LIVRE</v>
      </c>
      <c r="AA157" s="1" t="str">
        <f t="shared" si="41"/>
        <v>NON LIVRE</v>
      </c>
      <c r="AB157" s="1" t="str">
        <f t="shared" si="45"/>
        <v>NON LIVRE</v>
      </c>
      <c r="AC157" s="1" t="str">
        <f t="shared" si="46"/>
        <v>NON LIVRE</v>
      </c>
      <c r="AD157" s="1" t="str">
        <f t="shared" si="42"/>
        <v>NON LIVRE</v>
      </c>
      <c r="AE157" s="1" t="str">
        <f t="shared" si="47"/>
        <v>NON LIVRE</v>
      </c>
      <c r="AF157" s="1" t="str">
        <f t="shared" si="48"/>
        <v>NON LIVRE</v>
      </c>
      <c r="AG157" s="1" t="str">
        <f t="shared" si="49"/>
        <v>NON LIVRE</v>
      </c>
      <c r="AH157" s="1" t="str">
        <f t="shared" si="50"/>
        <v>NON LIVRE</v>
      </c>
      <c r="AI157" s="1" t="str">
        <f t="shared" si="51"/>
        <v>NON LIVRE</v>
      </c>
      <c r="AJ157" s="1" t="str">
        <f t="shared" si="52"/>
        <v>NON LIVRE</v>
      </c>
      <c r="AK157" s="1" t="str">
        <f t="shared" si="37"/>
        <v>NON LIVRE</v>
      </c>
      <c r="AL157" s="1" t="str">
        <f t="shared" si="53"/>
        <v>NON LIVRE</v>
      </c>
      <c r="AM157" s="1" t="str">
        <f t="shared" si="43"/>
        <v>NON LIVRE</v>
      </c>
      <c r="AN157" s="1" t="str">
        <f t="shared" si="54"/>
        <v>NON LIVRE</v>
      </c>
    </row>
    <row r="158" spans="1:40" hidden="1" x14ac:dyDescent="0.3">
      <c r="A158" s="1">
        <v>25219</v>
      </c>
      <c r="B158" s="1" t="s">
        <v>41</v>
      </c>
      <c r="C158" s="3" t="s">
        <v>258</v>
      </c>
      <c r="D158" s="4">
        <v>14000</v>
      </c>
      <c r="E158" s="2" t="s">
        <v>137</v>
      </c>
      <c r="F158" s="2">
        <v>45965</v>
      </c>
      <c r="W158" s="1" t="str">
        <f t="shared" si="38"/>
        <v>NON LIVRE</v>
      </c>
      <c r="X158" s="1" t="str">
        <f t="shared" si="39"/>
        <v>NON LIVRE</v>
      </c>
      <c r="Y158" s="1" t="str">
        <f t="shared" si="40"/>
        <v>NON LIVRE</v>
      </c>
      <c r="Z158" s="1" t="str">
        <f t="shared" si="44"/>
        <v>NON LIVRE</v>
      </c>
      <c r="AA158" s="1" t="str">
        <f t="shared" si="41"/>
        <v>NON LIVRE</v>
      </c>
      <c r="AB158" s="1" t="str">
        <f t="shared" si="45"/>
        <v>NON LIVRE</v>
      </c>
      <c r="AC158" s="1" t="str">
        <f t="shared" si="46"/>
        <v>NON LIVRE</v>
      </c>
      <c r="AD158" s="1" t="str">
        <f t="shared" si="42"/>
        <v>NON LIVRE</v>
      </c>
      <c r="AE158" s="1" t="str">
        <f t="shared" si="47"/>
        <v>NON LIVRE</v>
      </c>
      <c r="AF158" s="1" t="str">
        <f t="shared" si="48"/>
        <v>NON LIVRE</v>
      </c>
      <c r="AG158" s="1" t="str">
        <f t="shared" si="49"/>
        <v>NON LIVRE</v>
      </c>
      <c r="AH158" s="1" t="str">
        <f t="shared" si="50"/>
        <v>NON LIVRE</v>
      </c>
      <c r="AI158" s="1" t="str">
        <f t="shared" si="51"/>
        <v>NON LIVRE</v>
      </c>
      <c r="AJ158" s="1" t="str">
        <f t="shared" si="52"/>
        <v>NON LIVRE</v>
      </c>
      <c r="AK158" s="1" t="str">
        <f t="shared" si="37"/>
        <v>NON LIVRE</v>
      </c>
      <c r="AL158" s="1" t="str">
        <f t="shared" si="53"/>
        <v>NON LIVRE</v>
      </c>
      <c r="AM158" s="1" t="str">
        <f t="shared" si="43"/>
        <v>NON LIVRE</v>
      </c>
      <c r="AN158" s="1" t="str">
        <f t="shared" si="54"/>
        <v>NON LIVRE</v>
      </c>
    </row>
    <row r="159" spans="1:40" hidden="1" x14ac:dyDescent="0.3">
      <c r="A159" s="1">
        <v>25220</v>
      </c>
      <c r="B159" s="1" t="s">
        <v>259</v>
      </c>
      <c r="C159" s="3" t="s">
        <v>260</v>
      </c>
      <c r="D159" s="4">
        <v>1700</v>
      </c>
      <c r="E159" s="2" t="s">
        <v>257</v>
      </c>
      <c r="F159" s="2">
        <v>45967</v>
      </c>
      <c r="G159" s="2">
        <v>45967</v>
      </c>
      <c r="H159" s="2">
        <v>46002</v>
      </c>
      <c r="I159" s="2">
        <v>46006</v>
      </c>
      <c r="J159" s="2">
        <v>46035</v>
      </c>
      <c r="K159" s="2">
        <v>45994</v>
      </c>
      <c r="L159" s="2">
        <v>46044</v>
      </c>
      <c r="N159" s="2">
        <v>46045</v>
      </c>
      <c r="O159" s="2">
        <v>46031</v>
      </c>
      <c r="P159" s="2">
        <v>46073</v>
      </c>
      <c r="Q159" s="2">
        <v>46073</v>
      </c>
      <c r="R159" s="2">
        <v>46073</v>
      </c>
      <c r="S159" s="1">
        <v>1</v>
      </c>
      <c r="W159" s="1">
        <f t="shared" si="38"/>
        <v>76</v>
      </c>
      <c r="X159" s="1">
        <f t="shared" si="39"/>
        <v>76</v>
      </c>
      <c r="Y159" s="1">
        <f t="shared" si="40"/>
        <v>0</v>
      </c>
      <c r="Z159" s="1">
        <f t="shared" si="44"/>
        <v>56</v>
      </c>
      <c r="AA159" s="1">
        <f t="shared" si="41"/>
        <v>0</v>
      </c>
      <c r="AB159" s="1">
        <f t="shared" si="45"/>
        <v>25</v>
      </c>
      <c r="AC159" s="1">
        <f t="shared" si="46"/>
        <v>31</v>
      </c>
      <c r="AD159" s="1">
        <f t="shared" si="42"/>
        <v>46</v>
      </c>
      <c r="AE159" s="1">
        <f t="shared" si="47"/>
        <v>55</v>
      </c>
      <c r="AF159" s="1">
        <f t="shared" si="48"/>
        <v>19</v>
      </c>
      <c r="AG159" s="1" t="str">
        <f t="shared" si="49"/>
        <v>PAS DE DATE CARTON</v>
      </c>
      <c r="AH159" s="1">
        <f t="shared" si="50"/>
        <v>27</v>
      </c>
      <c r="AI159" s="1">
        <f t="shared" si="51"/>
        <v>48</v>
      </c>
      <c r="AJ159" s="1">
        <f t="shared" si="52"/>
        <v>7</v>
      </c>
      <c r="AK159" s="1">
        <f t="shared" si="37"/>
        <v>-11</v>
      </c>
      <c r="AL159" s="1">
        <f t="shared" si="53"/>
        <v>10</v>
      </c>
      <c r="AM159" s="1">
        <f t="shared" si="43"/>
        <v>20</v>
      </c>
      <c r="AN159" s="1">
        <f t="shared" si="54"/>
        <v>0</v>
      </c>
    </row>
    <row r="160" spans="1:40" hidden="1" x14ac:dyDescent="0.3">
      <c r="A160" s="1">
        <v>25221</v>
      </c>
      <c r="B160" s="1" t="s">
        <v>259</v>
      </c>
      <c r="C160" s="3" t="s">
        <v>261</v>
      </c>
      <c r="D160" s="4">
        <v>1100</v>
      </c>
      <c r="E160" s="2" t="s">
        <v>153</v>
      </c>
      <c r="F160" s="2">
        <v>45967</v>
      </c>
      <c r="G160" s="2">
        <v>45967</v>
      </c>
      <c r="H160" s="2">
        <v>46002</v>
      </c>
      <c r="I160" s="2">
        <v>46006</v>
      </c>
      <c r="J160" s="2">
        <v>46035</v>
      </c>
      <c r="K160" s="2">
        <v>45994</v>
      </c>
      <c r="L160" s="2">
        <v>46051</v>
      </c>
      <c r="N160" s="2">
        <v>46045</v>
      </c>
      <c r="O160" s="2">
        <v>46044</v>
      </c>
      <c r="P160" s="2">
        <v>46073</v>
      </c>
      <c r="Q160" s="2">
        <v>46073</v>
      </c>
      <c r="R160" s="2">
        <v>46073</v>
      </c>
      <c r="S160" s="1">
        <v>1</v>
      </c>
      <c r="W160" s="1">
        <f t="shared" si="38"/>
        <v>76</v>
      </c>
      <c r="X160" s="1">
        <f t="shared" si="39"/>
        <v>76</v>
      </c>
      <c r="Y160" s="1">
        <f t="shared" si="40"/>
        <v>0</v>
      </c>
      <c r="Z160" s="1">
        <f t="shared" si="44"/>
        <v>56</v>
      </c>
      <c r="AA160" s="1">
        <f t="shared" si="41"/>
        <v>0</v>
      </c>
      <c r="AB160" s="1">
        <f t="shared" si="45"/>
        <v>25</v>
      </c>
      <c r="AC160" s="1">
        <f t="shared" si="46"/>
        <v>31</v>
      </c>
      <c r="AD160" s="1">
        <f t="shared" si="42"/>
        <v>55</v>
      </c>
      <c r="AE160" s="1">
        <f t="shared" si="47"/>
        <v>60</v>
      </c>
      <c r="AF160" s="1">
        <f t="shared" si="48"/>
        <v>19</v>
      </c>
      <c r="AG160" s="1" t="str">
        <f t="shared" si="49"/>
        <v>PAS DE DATE CARTON</v>
      </c>
      <c r="AH160" s="1">
        <f t="shared" si="50"/>
        <v>27</v>
      </c>
      <c r="AI160" s="1">
        <f t="shared" si="51"/>
        <v>48</v>
      </c>
      <c r="AJ160" s="1">
        <f t="shared" si="52"/>
        <v>12</v>
      </c>
      <c r="AK160" s="1">
        <f t="shared" si="37"/>
        <v>-7</v>
      </c>
      <c r="AL160" s="1">
        <f t="shared" si="53"/>
        <v>1</v>
      </c>
      <c r="AM160" s="1">
        <f t="shared" si="43"/>
        <v>20</v>
      </c>
      <c r="AN160" s="1">
        <f t="shared" si="54"/>
        <v>0</v>
      </c>
    </row>
    <row r="161" spans="1:40" hidden="1" x14ac:dyDescent="0.3">
      <c r="A161" s="1">
        <v>25222</v>
      </c>
      <c r="B161" s="1" t="s">
        <v>262</v>
      </c>
      <c r="C161" s="3" t="s">
        <v>263</v>
      </c>
      <c r="D161" s="4">
        <v>5000</v>
      </c>
      <c r="E161" s="2" t="s">
        <v>307</v>
      </c>
      <c r="F161" s="2">
        <v>45968</v>
      </c>
      <c r="G161" s="2">
        <v>45978</v>
      </c>
      <c r="K161" s="2">
        <v>45993</v>
      </c>
      <c r="M161" s="2">
        <v>45995</v>
      </c>
      <c r="W161" s="1" t="str">
        <f t="shared" si="38"/>
        <v>NON LIVRE</v>
      </c>
      <c r="X161" s="1" t="str">
        <f t="shared" si="39"/>
        <v>NON LIVRE</v>
      </c>
      <c r="Y161" s="1" t="str">
        <f t="shared" si="40"/>
        <v>NON LIVRE</v>
      </c>
      <c r="Z161" s="1" t="str">
        <f t="shared" si="44"/>
        <v>NON LIVRE</v>
      </c>
      <c r="AA161" s="1" t="str">
        <f t="shared" si="41"/>
        <v>NON LIVRE</v>
      </c>
      <c r="AB161" s="1" t="str">
        <f t="shared" si="45"/>
        <v>NON LIVRE</v>
      </c>
      <c r="AC161" s="1" t="str">
        <f t="shared" si="46"/>
        <v>NON LIVRE</v>
      </c>
      <c r="AD161" s="1" t="str">
        <f t="shared" si="42"/>
        <v>NON LIVRE</v>
      </c>
      <c r="AE161" s="1" t="str">
        <f t="shared" si="47"/>
        <v>NON LIVRE</v>
      </c>
      <c r="AF161" s="1" t="str">
        <f t="shared" si="48"/>
        <v>NON LIVRE</v>
      </c>
      <c r="AG161" s="1" t="str">
        <f t="shared" si="49"/>
        <v>NON LIVRE</v>
      </c>
      <c r="AH161" s="1" t="str">
        <f t="shared" si="50"/>
        <v>NON LIVRE</v>
      </c>
      <c r="AI161" s="1" t="str">
        <f t="shared" si="51"/>
        <v>NON LIVRE</v>
      </c>
      <c r="AJ161" s="1" t="str">
        <f t="shared" si="52"/>
        <v>NON LIVRE</v>
      </c>
      <c r="AK161" s="1" t="str">
        <f t="shared" si="37"/>
        <v>NON LIVRE</v>
      </c>
      <c r="AL161" s="1" t="str">
        <f t="shared" si="53"/>
        <v>NON LIVRE</v>
      </c>
      <c r="AM161" s="1" t="str">
        <f t="shared" si="43"/>
        <v>NON LIVRE</v>
      </c>
      <c r="AN161" s="1" t="str">
        <f t="shared" si="54"/>
        <v>NON LIVRE</v>
      </c>
    </row>
    <row r="162" spans="1:40" hidden="1" x14ac:dyDescent="0.3">
      <c r="A162" s="1">
        <v>25223</v>
      </c>
      <c r="B162" s="1" t="s">
        <v>264</v>
      </c>
      <c r="D162" s="4">
        <v>3300</v>
      </c>
      <c r="F162" s="2">
        <v>45968</v>
      </c>
      <c r="H162" s="2">
        <v>45981</v>
      </c>
      <c r="N162" s="2">
        <v>45989</v>
      </c>
      <c r="P162" s="2">
        <v>46037</v>
      </c>
      <c r="Q162" s="2">
        <v>46017</v>
      </c>
      <c r="R162" s="2">
        <v>46052</v>
      </c>
      <c r="S162" s="1">
        <v>2</v>
      </c>
      <c r="W162" s="1">
        <f t="shared" si="38"/>
        <v>60</v>
      </c>
      <c r="X162" s="1">
        <f t="shared" si="39"/>
        <v>35</v>
      </c>
      <c r="Y162" s="1">
        <f t="shared" si="40"/>
        <v>-16</v>
      </c>
      <c r="Z162" s="1">
        <f t="shared" si="44"/>
        <v>15</v>
      </c>
      <c r="AA162" s="1" t="str">
        <f t="shared" si="41"/>
        <v>PAS DE COMMANDE MATIERE</v>
      </c>
      <c r="AB162" s="1">
        <f t="shared" si="45"/>
        <v>32843</v>
      </c>
      <c r="AC162" s="1">
        <f t="shared" si="46"/>
        <v>6</v>
      </c>
      <c r="AD162" s="1" t="str">
        <f t="shared" si="42"/>
        <v>PAS DE DEPART TIRAGES OU ACHATS</v>
      </c>
      <c r="AE162" s="1" t="str">
        <f t="shared" si="47"/>
        <v>PAS DE DATE IMPRESSION</v>
      </c>
      <c r="AF162" s="1" t="str">
        <f t="shared" si="48"/>
        <v>PAS DE DATE PAPIER</v>
      </c>
      <c r="AG162" s="1" t="str">
        <f t="shared" si="49"/>
        <v>PAS DE DATE CARTON</v>
      </c>
      <c r="AH162" s="1" t="str">
        <f t="shared" si="50"/>
        <v>PAS DE DATE FICHIER</v>
      </c>
      <c r="AI162" s="1" t="str">
        <f t="shared" si="51"/>
        <v>PAS DE DATE VALIDATION MODELE CLIENT</v>
      </c>
      <c r="AJ162" s="1" t="str">
        <f t="shared" si="52"/>
        <v>PAS DE DATE IMPRESSION</v>
      </c>
      <c r="AK162" s="1" t="str">
        <f t="shared" si="37"/>
        <v>PAS D'IMPRESSION</v>
      </c>
      <c r="AL162" s="1">
        <f t="shared" si="53"/>
        <v>0</v>
      </c>
      <c r="AM162" s="1">
        <f t="shared" si="43"/>
        <v>20</v>
      </c>
      <c r="AN162" s="1" t="str">
        <f t="shared" si="54"/>
        <v>PAS DE DATE VALIDATION MODELE CLIENT</v>
      </c>
    </row>
    <row r="163" spans="1:40" hidden="1" x14ac:dyDescent="0.3">
      <c r="A163" s="1">
        <v>25224</v>
      </c>
      <c r="B163" s="1" t="s">
        <v>35</v>
      </c>
      <c r="C163" s="3" t="s">
        <v>265</v>
      </c>
      <c r="D163" s="4">
        <v>500</v>
      </c>
      <c r="E163" s="2" t="s">
        <v>165</v>
      </c>
      <c r="F163" s="2">
        <v>45978</v>
      </c>
      <c r="W163" s="1" t="str">
        <f t="shared" si="38"/>
        <v>NON LIVRE</v>
      </c>
      <c r="X163" s="1" t="str">
        <f t="shared" si="39"/>
        <v>NON LIVRE</v>
      </c>
      <c r="Y163" s="1" t="str">
        <f t="shared" si="40"/>
        <v>NON LIVRE</v>
      </c>
      <c r="Z163" s="1" t="str">
        <f t="shared" si="44"/>
        <v>NON LIVRE</v>
      </c>
      <c r="AA163" s="1" t="str">
        <f t="shared" si="41"/>
        <v>NON LIVRE</v>
      </c>
      <c r="AB163" s="1" t="str">
        <f t="shared" si="45"/>
        <v>NON LIVRE</v>
      </c>
      <c r="AC163" s="1" t="str">
        <f t="shared" si="46"/>
        <v>NON LIVRE</v>
      </c>
      <c r="AD163" s="1" t="str">
        <f t="shared" si="42"/>
        <v>NON LIVRE</v>
      </c>
      <c r="AE163" s="1" t="str">
        <f t="shared" si="47"/>
        <v>NON LIVRE</v>
      </c>
      <c r="AF163" s="1" t="str">
        <f t="shared" si="48"/>
        <v>NON LIVRE</v>
      </c>
      <c r="AG163" s="1" t="str">
        <f t="shared" si="49"/>
        <v>NON LIVRE</v>
      </c>
      <c r="AH163" s="1" t="str">
        <f t="shared" si="50"/>
        <v>NON LIVRE</v>
      </c>
      <c r="AI163" s="1" t="str">
        <f t="shared" si="51"/>
        <v>NON LIVRE</v>
      </c>
      <c r="AJ163" s="1" t="str">
        <f t="shared" si="52"/>
        <v>NON LIVRE</v>
      </c>
      <c r="AK163" s="1" t="str">
        <f t="shared" si="37"/>
        <v>NON LIVRE</v>
      </c>
      <c r="AL163" s="1" t="str">
        <f t="shared" si="53"/>
        <v>NON LIVRE</v>
      </c>
      <c r="AM163" s="1" t="str">
        <f t="shared" si="43"/>
        <v>NON LIVRE</v>
      </c>
      <c r="AN163" s="1" t="str">
        <f t="shared" si="54"/>
        <v>NON LIVRE</v>
      </c>
    </row>
    <row r="164" spans="1:40" hidden="1" x14ac:dyDescent="0.3">
      <c r="A164" s="1">
        <v>25225</v>
      </c>
      <c r="B164" s="1" t="s">
        <v>245</v>
      </c>
      <c r="C164" s="3" t="s">
        <v>266</v>
      </c>
      <c r="D164" s="4">
        <v>1000</v>
      </c>
      <c r="E164" s="2" t="s">
        <v>305</v>
      </c>
      <c r="F164" s="2">
        <v>45978</v>
      </c>
      <c r="G164" s="2">
        <v>45981</v>
      </c>
      <c r="H164" s="2">
        <v>46002</v>
      </c>
      <c r="I164" s="2">
        <v>45995</v>
      </c>
      <c r="L164" s="2">
        <v>46001</v>
      </c>
      <c r="M164" s="2">
        <v>46029</v>
      </c>
      <c r="W164" s="1" t="str">
        <f t="shared" si="38"/>
        <v>NON LIVRE</v>
      </c>
      <c r="X164" s="1" t="str">
        <f t="shared" si="39"/>
        <v>NON LIVRE</v>
      </c>
      <c r="Y164" s="1" t="str">
        <f t="shared" si="40"/>
        <v>NON LIVRE</v>
      </c>
      <c r="Z164" s="1" t="str">
        <f t="shared" si="44"/>
        <v>NON LIVRE</v>
      </c>
      <c r="AA164" s="1" t="str">
        <f t="shared" si="41"/>
        <v>NON LIVRE</v>
      </c>
      <c r="AB164" s="1" t="str">
        <f t="shared" si="45"/>
        <v>NON LIVRE</v>
      </c>
      <c r="AC164" s="1" t="str">
        <f t="shared" si="46"/>
        <v>NON LIVRE</v>
      </c>
      <c r="AD164" s="1" t="str">
        <f t="shared" si="42"/>
        <v>NON LIVRE</v>
      </c>
      <c r="AE164" s="1" t="str">
        <f t="shared" si="47"/>
        <v>NON LIVRE</v>
      </c>
      <c r="AF164" s="1" t="str">
        <f t="shared" si="48"/>
        <v>NON LIVRE</v>
      </c>
      <c r="AG164" s="1" t="str">
        <f t="shared" si="49"/>
        <v>NON LIVRE</v>
      </c>
      <c r="AH164" s="1" t="str">
        <f t="shared" si="50"/>
        <v>NON LIVRE</v>
      </c>
      <c r="AI164" s="1" t="str">
        <f t="shared" si="51"/>
        <v>NON LIVRE</v>
      </c>
      <c r="AJ164" s="1" t="str">
        <f t="shared" si="52"/>
        <v>NON LIVRE</v>
      </c>
      <c r="AK164" s="1" t="str">
        <f t="shared" si="37"/>
        <v>NON LIVRE</v>
      </c>
      <c r="AL164" s="1" t="str">
        <f t="shared" si="53"/>
        <v>NON LIVRE</v>
      </c>
      <c r="AM164" s="1" t="str">
        <f t="shared" si="43"/>
        <v>NON LIVRE</v>
      </c>
      <c r="AN164" s="1" t="str">
        <f t="shared" si="54"/>
        <v>NON LIVRE</v>
      </c>
    </row>
    <row r="165" spans="1:40" hidden="1" x14ac:dyDescent="0.3">
      <c r="A165" s="1">
        <v>25226</v>
      </c>
      <c r="B165" s="1" t="s">
        <v>245</v>
      </c>
      <c r="C165" s="3" t="s">
        <v>267</v>
      </c>
      <c r="D165" s="4">
        <v>2000</v>
      </c>
      <c r="E165" s="2" t="s">
        <v>306</v>
      </c>
      <c r="F165" s="2">
        <v>45978</v>
      </c>
      <c r="G165" s="2">
        <v>45981</v>
      </c>
      <c r="H165" s="2">
        <v>46002</v>
      </c>
      <c r="I165" s="2">
        <v>45995</v>
      </c>
      <c r="L165" s="2">
        <v>46001</v>
      </c>
      <c r="M165" s="2">
        <v>46029</v>
      </c>
      <c r="W165" s="1" t="str">
        <f t="shared" si="38"/>
        <v>NON LIVRE</v>
      </c>
      <c r="X165" s="1" t="str">
        <f t="shared" si="39"/>
        <v>NON LIVRE</v>
      </c>
      <c r="Y165" s="1" t="str">
        <f t="shared" si="40"/>
        <v>NON LIVRE</v>
      </c>
      <c r="Z165" s="1" t="str">
        <f t="shared" si="44"/>
        <v>NON LIVRE</v>
      </c>
      <c r="AA165" s="1" t="str">
        <f t="shared" si="41"/>
        <v>NON LIVRE</v>
      </c>
      <c r="AB165" s="1" t="str">
        <f t="shared" si="45"/>
        <v>NON LIVRE</v>
      </c>
      <c r="AC165" s="1" t="str">
        <f t="shared" si="46"/>
        <v>NON LIVRE</v>
      </c>
      <c r="AD165" s="1" t="str">
        <f t="shared" si="42"/>
        <v>NON LIVRE</v>
      </c>
      <c r="AE165" s="1" t="str">
        <f t="shared" si="47"/>
        <v>NON LIVRE</v>
      </c>
      <c r="AF165" s="1" t="str">
        <f t="shared" si="48"/>
        <v>NON LIVRE</v>
      </c>
      <c r="AG165" s="1" t="str">
        <f t="shared" si="49"/>
        <v>NON LIVRE</v>
      </c>
      <c r="AH165" s="1" t="str">
        <f t="shared" si="50"/>
        <v>NON LIVRE</v>
      </c>
      <c r="AI165" s="1" t="str">
        <f t="shared" si="51"/>
        <v>NON LIVRE</v>
      </c>
      <c r="AJ165" s="1" t="str">
        <f t="shared" si="52"/>
        <v>NON LIVRE</v>
      </c>
      <c r="AK165" s="1" t="str">
        <f t="shared" si="37"/>
        <v>NON LIVRE</v>
      </c>
      <c r="AL165" s="1" t="str">
        <f t="shared" si="53"/>
        <v>NON LIVRE</v>
      </c>
      <c r="AM165" s="1" t="str">
        <f t="shared" si="43"/>
        <v>NON LIVRE</v>
      </c>
      <c r="AN165" s="1" t="str">
        <f t="shared" si="54"/>
        <v>NON LIVRE</v>
      </c>
    </row>
    <row r="166" spans="1:40" hidden="1" x14ac:dyDescent="0.3">
      <c r="A166" s="1">
        <v>25227</v>
      </c>
      <c r="B166" s="1" t="s">
        <v>245</v>
      </c>
      <c r="C166" s="3" t="s">
        <v>268</v>
      </c>
      <c r="D166" s="4">
        <v>1000</v>
      </c>
      <c r="E166" s="2" t="s">
        <v>149</v>
      </c>
      <c r="F166" s="2">
        <v>45978</v>
      </c>
      <c r="G166" s="2">
        <v>45993</v>
      </c>
      <c r="H166" s="2">
        <v>46001</v>
      </c>
      <c r="I166" s="2">
        <v>46000</v>
      </c>
      <c r="L166" s="2">
        <v>46002</v>
      </c>
      <c r="M166" s="2">
        <v>46029</v>
      </c>
      <c r="W166" s="1" t="str">
        <f t="shared" si="38"/>
        <v>NON LIVRE</v>
      </c>
      <c r="X166" s="1" t="str">
        <f t="shared" si="39"/>
        <v>NON LIVRE</v>
      </c>
      <c r="Y166" s="1" t="str">
        <f t="shared" si="40"/>
        <v>NON LIVRE</v>
      </c>
      <c r="Z166" s="1" t="str">
        <f t="shared" si="44"/>
        <v>NON LIVRE</v>
      </c>
      <c r="AA166" s="1" t="str">
        <f t="shared" si="41"/>
        <v>NON LIVRE</v>
      </c>
      <c r="AB166" s="1" t="str">
        <f t="shared" si="45"/>
        <v>NON LIVRE</v>
      </c>
      <c r="AC166" s="1" t="str">
        <f t="shared" si="46"/>
        <v>NON LIVRE</v>
      </c>
      <c r="AD166" s="1" t="str">
        <f t="shared" si="42"/>
        <v>NON LIVRE</v>
      </c>
      <c r="AE166" s="1" t="str">
        <f t="shared" si="47"/>
        <v>NON LIVRE</v>
      </c>
      <c r="AF166" s="1" t="str">
        <f t="shared" si="48"/>
        <v>NON LIVRE</v>
      </c>
      <c r="AG166" s="1" t="str">
        <f t="shared" si="49"/>
        <v>NON LIVRE</v>
      </c>
      <c r="AH166" s="1" t="str">
        <f t="shared" si="50"/>
        <v>NON LIVRE</v>
      </c>
      <c r="AI166" s="1" t="str">
        <f t="shared" si="51"/>
        <v>NON LIVRE</v>
      </c>
      <c r="AJ166" s="1" t="str">
        <f t="shared" si="52"/>
        <v>NON LIVRE</v>
      </c>
      <c r="AK166" s="1" t="str">
        <f t="shared" si="37"/>
        <v>NON LIVRE</v>
      </c>
      <c r="AL166" s="1" t="str">
        <f t="shared" si="53"/>
        <v>NON LIVRE</v>
      </c>
      <c r="AM166" s="1" t="str">
        <f t="shared" si="43"/>
        <v>NON LIVRE</v>
      </c>
      <c r="AN166" s="1" t="str">
        <f t="shared" si="54"/>
        <v>NON LIVRE</v>
      </c>
    </row>
    <row r="167" spans="1:40" hidden="1" x14ac:dyDescent="0.3">
      <c r="A167" s="1">
        <v>25228</v>
      </c>
      <c r="B167" s="1" t="s">
        <v>60</v>
      </c>
      <c r="C167" s="3" t="s">
        <v>269</v>
      </c>
      <c r="D167" s="4">
        <v>120</v>
      </c>
      <c r="E167" s="2" t="s">
        <v>179</v>
      </c>
      <c r="F167" s="2">
        <v>45978</v>
      </c>
      <c r="H167" s="2">
        <v>45974</v>
      </c>
      <c r="I167" s="2">
        <v>46008</v>
      </c>
      <c r="J167" s="2">
        <v>46003</v>
      </c>
      <c r="L167" s="2">
        <v>46015</v>
      </c>
      <c r="M167" s="2" t="s">
        <v>199</v>
      </c>
      <c r="N167" s="2">
        <v>46031</v>
      </c>
      <c r="O167" s="2">
        <v>46031</v>
      </c>
      <c r="P167" s="2">
        <v>46045</v>
      </c>
      <c r="Q167" s="2">
        <v>46045</v>
      </c>
      <c r="R167" s="2">
        <v>46045</v>
      </c>
      <c r="S167" s="1">
        <v>2</v>
      </c>
      <c r="W167" s="1">
        <f t="shared" si="38"/>
        <v>49</v>
      </c>
      <c r="X167" s="1">
        <f t="shared" si="39"/>
        <v>49</v>
      </c>
      <c r="Y167" s="1">
        <f t="shared" si="40"/>
        <v>0</v>
      </c>
      <c r="Z167" s="1">
        <f t="shared" si="44"/>
        <v>39</v>
      </c>
      <c r="AA167" s="1" t="str">
        <f t="shared" si="41"/>
        <v>PAS DE COMMANDE MATIERE</v>
      </c>
      <c r="AB167" s="1">
        <f t="shared" si="45"/>
        <v>32838</v>
      </c>
      <c r="AC167" s="1">
        <f t="shared" si="46"/>
        <v>41</v>
      </c>
      <c r="AD167" s="1">
        <f t="shared" si="42"/>
        <v>39</v>
      </c>
      <c r="AE167" s="1">
        <f t="shared" si="47"/>
        <v>27</v>
      </c>
      <c r="AF167" s="1" t="str">
        <f t="shared" si="48"/>
        <v>PAS DE DATE PAPIER</v>
      </c>
      <c r="AG167" s="1" t="str">
        <f t="shared" si="49"/>
        <v>STOCK</v>
      </c>
      <c r="AH167" s="1">
        <f t="shared" si="50"/>
        <v>22</v>
      </c>
      <c r="AI167" s="1">
        <f t="shared" si="51"/>
        <v>19</v>
      </c>
      <c r="AJ167" s="1">
        <f t="shared" si="52"/>
        <v>5</v>
      </c>
      <c r="AK167" s="1">
        <f t="shared" ref="AK167:AK230" si="55">IFERROR(IF($R167="","NON LIVRE",IF($L167="","PAS D'IMPRESSION",IF($O167="","PAS DE DATE DEPART EN PROD TIRAGES ET ACHATS",NETWORKDAYS($L167,$O167)-1))),$O167)</f>
        <v>12</v>
      </c>
      <c r="AL167" s="1">
        <f t="shared" si="53"/>
        <v>0</v>
      </c>
      <c r="AM167" s="1">
        <f t="shared" si="43"/>
        <v>10</v>
      </c>
      <c r="AN167" s="1">
        <f t="shared" si="54"/>
        <v>0</v>
      </c>
    </row>
    <row r="168" spans="1:40" hidden="1" x14ac:dyDescent="0.3">
      <c r="A168" s="1">
        <v>25229</v>
      </c>
      <c r="B168" s="1" t="s">
        <v>270</v>
      </c>
      <c r="C168" s="3" t="s">
        <v>271</v>
      </c>
      <c r="D168" s="4">
        <f>80+120+120+30</f>
        <v>350</v>
      </c>
      <c r="E168" s="2" t="s">
        <v>304</v>
      </c>
      <c r="F168" s="2">
        <v>45978</v>
      </c>
      <c r="G168" s="2" t="s">
        <v>369</v>
      </c>
      <c r="H168" s="2">
        <v>45987</v>
      </c>
      <c r="I168" s="2">
        <v>46002</v>
      </c>
      <c r="J168" s="2" t="s">
        <v>315</v>
      </c>
      <c r="L168" s="2">
        <v>46000</v>
      </c>
      <c r="M168" s="2" t="s">
        <v>199</v>
      </c>
      <c r="N168" s="2">
        <v>46042</v>
      </c>
      <c r="O168" s="2">
        <v>46009</v>
      </c>
      <c r="P168" s="2">
        <v>46052</v>
      </c>
      <c r="Q168" s="2">
        <v>46059</v>
      </c>
      <c r="R168" s="2">
        <v>46059</v>
      </c>
      <c r="S168" s="1">
        <v>1</v>
      </c>
      <c r="W168" s="1">
        <f t="shared" si="38"/>
        <v>59</v>
      </c>
      <c r="X168" s="1">
        <f t="shared" si="39"/>
        <v>59</v>
      </c>
      <c r="Y168" s="1">
        <f t="shared" si="40"/>
        <v>5</v>
      </c>
      <c r="Z168" s="1">
        <f t="shared" si="44"/>
        <v>46</v>
      </c>
      <c r="AA168" s="1" t="str">
        <f t="shared" si="41"/>
        <v>DEVIS</v>
      </c>
      <c r="AB168" s="1">
        <f t="shared" si="45"/>
        <v>45987</v>
      </c>
      <c r="AC168" s="1">
        <f t="shared" si="46"/>
        <v>39</v>
      </c>
      <c r="AD168" s="1">
        <f t="shared" si="42"/>
        <v>23</v>
      </c>
      <c r="AE168" s="1">
        <f t="shared" si="47"/>
        <v>16</v>
      </c>
      <c r="AF168" s="1" t="str">
        <f t="shared" si="48"/>
        <v>PAS DE DATE PAPIER</v>
      </c>
      <c r="AG168" s="1" t="str">
        <f t="shared" si="49"/>
        <v>STOCK</v>
      </c>
      <c r="AH168" s="1">
        <f t="shared" si="50"/>
        <v>18</v>
      </c>
      <c r="AI168" s="1" t="str">
        <f t="shared" si="51"/>
        <v>ANC FAB</v>
      </c>
      <c r="AJ168" s="1">
        <f t="shared" si="52"/>
        <v>-4</v>
      </c>
      <c r="AK168" s="1">
        <f t="shared" si="55"/>
        <v>7</v>
      </c>
      <c r="AL168" s="1">
        <f t="shared" si="53"/>
        <v>23</v>
      </c>
      <c r="AM168" s="1">
        <f t="shared" si="43"/>
        <v>13</v>
      </c>
      <c r="AN168" s="1">
        <f t="shared" si="54"/>
        <v>0</v>
      </c>
    </row>
    <row r="169" spans="1:40" hidden="1" x14ac:dyDescent="0.3">
      <c r="A169" s="1">
        <v>25230</v>
      </c>
      <c r="B169" s="1" t="s">
        <v>220</v>
      </c>
      <c r="C169" s="3" t="s">
        <v>54</v>
      </c>
      <c r="D169" s="4">
        <v>400</v>
      </c>
      <c r="E169" s="2" t="s">
        <v>303</v>
      </c>
      <c r="F169" s="2">
        <v>45978</v>
      </c>
      <c r="W169" s="1" t="str">
        <f t="shared" si="38"/>
        <v>NON LIVRE</v>
      </c>
      <c r="X169" s="1" t="str">
        <f t="shared" si="39"/>
        <v>NON LIVRE</v>
      </c>
      <c r="Y169" s="1" t="str">
        <f t="shared" si="40"/>
        <v>NON LIVRE</v>
      </c>
      <c r="Z169" s="1" t="str">
        <f t="shared" si="44"/>
        <v>NON LIVRE</v>
      </c>
      <c r="AA169" s="1" t="str">
        <f t="shared" si="41"/>
        <v>NON LIVRE</v>
      </c>
      <c r="AB169" s="1" t="str">
        <f t="shared" si="45"/>
        <v>NON LIVRE</v>
      </c>
      <c r="AC169" s="1" t="str">
        <f t="shared" si="46"/>
        <v>NON LIVRE</v>
      </c>
      <c r="AD169" s="1" t="str">
        <f t="shared" si="42"/>
        <v>NON LIVRE</v>
      </c>
      <c r="AE169" s="1" t="str">
        <f t="shared" si="47"/>
        <v>NON LIVRE</v>
      </c>
      <c r="AF169" s="1" t="str">
        <f t="shared" si="48"/>
        <v>NON LIVRE</v>
      </c>
      <c r="AG169" s="1" t="str">
        <f t="shared" si="49"/>
        <v>NON LIVRE</v>
      </c>
      <c r="AH169" s="1" t="str">
        <f t="shared" si="50"/>
        <v>NON LIVRE</v>
      </c>
      <c r="AI169" s="1" t="str">
        <f t="shared" si="51"/>
        <v>NON LIVRE</v>
      </c>
      <c r="AJ169" s="1" t="str">
        <f t="shared" si="52"/>
        <v>NON LIVRE</v>
      </c>
      <c r="AK169" s="1" t="str">
        <f t="shared" si="55"/>
        <v>NON LIVRE</v>
      </c>
      <c r="AL169" s="1" t="str">
        <f t="shared" si="53"/>
        <v>NON LIVRE</v>
      </c>
      <c r="AM169" s="1" t="str">
        <f t="shared" si="43"/>
        <v>NON LIVRE</v>
      </c>
      <c r="AN169" s="1" t="str">
        <f t="shared" si="54"/>
        <v>NON LIVRE</v>
      </c>
    </row>
    <row r="170" spans="1:40" hidden="1" x14ac:dyDescent="0.3">
      <c r="A170" s="1">
        <v>25231</v>
      </c>
      <c r="B170" s="1" t="s">
        <v>73</v>
      </c>
      <c r="C170" s="3" t="s">
        <v>272</v>
      </c>
      <c r="D170" s="4" t="s">
        <v>273</v>
      </c>
      <c r="F170" s="2">
        <v>45979</v>
      </c>
      <c r="G170" s="2">
        <v>45979</v>
      </c>
      <c r="H170" s="2">
        <v>45989</v>
      </c>
      <c r="J170" s="2" t="s">
        <v>315</v>
      </c>
      <c r="N170" s="2">
        <v>46003</v>
      </c>
      <c r="O170" s="2">
        <v>46003</v>
      </c>
      <c r="P170" s="2">
        <v>46022</v>
      </c>
      <c r="Q170" s="2">
        <v>46022</v>
      </c>
      <c r="R170" s="2">
        <v>46022</v>
      </c>
      <c r="S170" s="1">
        <v>1</v>
      </c>
      <c r="W170" s="1">
        <f t="shared" si="38"/>
        <v>31</v>
      </c>
      <c r="X170" s="1">
        <f t="shared" si="39"/>
        <v>31</v>
      </c>
      <c r="Y170" s="1">
        <f t="shared" si="40"/>
        <v>0</v>
      </c>
      <c r="Z170" s="1">
        <f t="shared" si="44"/>
        <v>18</v>
      </c>
      <c r="AA170" s="1">
        <f t="shared" si="41"/>
        <v>0</v>
      </c>
      <c r="AB170" s="1">
        <f t="shared" si="45"/>
        <v>8</v>
      </c>
      <c r="AC170" s="1">
        <f t="shared" si="46"/>
        <v>10</v>
      </c>
      <c r="AD170" s="1">
        <f t="shared" si="42"/>
        <v>18</v>
      </c>
      <c r="AE170" s="1" t="str">
        <f t="shared" si="47"/>
        <v>PAS DE DATE IMPRESSION</v>
      </c>
      <c r="AF170" s="1" t="str">
        <f t="shared" si="48"/>
        <v>PAS DE DATE PAPIER</v>
      </c>
      <c r="AG170" s="1" t="str">
        <f t="shared" si="49"/>
        <v>PAS DE DATE CARTON</v>
      </c>
      <c r="AH170" s="1" t="str">
        <f t="shared" si="50"/>
        <v>PAS DE DATE FICHIER</v>
      </c>
      <c r="AI170" s="1" t="str">
        <f t="shared" si="51"/>
        <v>ANC FAB</v>
      </c>
      <c r="AJ170" s="1" t="str">
        <f t="shared" si="52"/>
        <v>PAS DE DATE IMPRESSION</v>
      </c>
      <c r="AK170" s="1" t="str">
        <f t="shared" si="55"/>
        <v>PAS D'IMPRESSION</v>
      </c>
      <c r="AL170" s="1">
        <f t="shared" si="53"/>
        <v>0</v>
      </c>
      <c r="AM170" s="1">
        <f t="shared" si="43"/>
        <v>13</v>
      </c>
      <c r="AN170" s="1">
        <f t="shared" si="54"/>
        <v>0</v>
      </c>
    </row>
    <row r="171" spans="1:40" hidden="1" x14ac:dyDescent="0.3">
      <c r="A171" s="1">
        <v>25232</v>
      </c>
      <c r="B171" s="1" t="s">
        <v>232</v>
      </c>
      <c r="C171" s="3" t="s">
        <v>274</v>
      </c>
      <c r="D171" s="4">
        <v>2578</v>
      </c>
      <c r="E171" s="2" t="s">
        <v>302</v>
      </c>
      <c r="F171" s="2">
        <v>45982</v>
      </c>
      <c r="G171" s="2">
        <v>45973</v>
      </c>
      <c r="H171" s="2">
        <v>46003</v>
      </c>
      <c r="I171" s="2">
        <v>46010</v>
      </c>
      <c r="J171" s="2" t="s">
        <v>315</v>
      </c>
      <c r="K171" s="2">
        <v>46013</v>
      </c>
      <c r="L171" s="2">
        <v>46037</v>
      </c>
      <c r="M171" s="2">
        <v>46029</v>
      </c>
      <c r="W171" s="1" t="str">
        <f t="shared" si="38"/>
        <v>NON LIVRE</v>
      </c>
      <c r="X171" s="1" t="str">
        <f t="shared" si="39"/>
        <v>NON LIVRE</v>
      </c>
      <c r="Y171" s="1" t="str">
        <f t="shared" si="40"/>
        <v>NON LIVRE</v>
      </c>
      <c r="Z171" s="1" t="str">
        <f t="shared" si="44"/>
        <v>NON LIVRE</v>
      </c>
      <c r="AA171" s="1" t="str">
        <f t="shared" si="41"/>
        <v>NON LIVRE</v>
      </c>
      <c r="AB171" s="1" t="str">
        <f t="shared" si="45"/>
        <v>NON LIVRE</v>
      </c>
      <c r="AC171" s="1" t="str">
        <f t="shared" si="46"/>
        <v>NON LIVRE</v>
      </c>
      <c r="AD171" s="1" t="str">
        <f t="shared" si="42"/>
        <v>NON LIVRE</v>
      </c>
      <c r="AE171" s="1" t="str">
        <f t="shared" si="47"/>
        <v>NON LIVRE</v>
      </c>
      <c r="AF171" s="1" t="str">
        <f t="shared" si="48"/>
        <v>NON LIVRE</v>
      </c>
      <c r="AG171" s="1" t="str">
        <f t="shared" si="49"/>
        <v>NON LIVRE</v>
      </c>
      <c r="AH171" s="1" t="str">
        <f t="shared" si="50"/>
        <v>NON LIVRE</v>
      </c>
      <c r="AI171" s="1" t="str">
        <f t="shared" si="51"/>
        <v>NON LIVRE</v>
      </c>
      <c r="AJ171" s="1" t="str">
        <f t="shared" si="52"/>
        <v>NON LIVRE</v>
      </c>
      <c r="AK171" s="1" t="str">
        <f t="shared" si="55"/>
        <v>NON LIVRE</v>
      </c>
      <c r="AL171" s="1" t="str">
        <f t="shared" si="53"/>
        <v>NON LIVRE</v>
      </c>
      <c r="AM171" s="1" t="str">
        <f t="shared" si="43"/>
        <v>NON LIVRE</v>
      </c>
      <c r="AN171" s="1" t="str">
        <f t="shared" si="54"/>
        <v>NON LIVRE</v>
      </c>
    </row>
    <row r="172" spans="1:40" hidden="1" x14ac:dyDescent="0.3">
      <c r="A172" s="1">
        <v>25233</v>
      </c>
      <c r="B172" s="1" t="s">
        <v>17</v>
      </c>
      <c r="C172" s="3" t="s">
        <v>275</v>
      </c>
      <c r="D172" s="4">
        <v>6000</v>
      </c>
      <c r="E172" s="2" t="s">
        <v>136</v>
      </c>
      <c r="F172" s="2">
        <v>45985</v>
      </c>
      <c r="G172" s="2">
        <v>45987</v>
      </c>
      <c r="H172" s="2">
        <v>46052</v>
      </c>
      <c r="I172" s="2">
        <v>45995</v>
      </c>
      <c r="J172" s="2">
        <v>46014</v>
      </c>
      <c r="L172" s="2">
        <v>46029</v>
      </c>
      <c r="M172" s="2" t="s">
        <v>199</v>
      </c>
      <c r="N172" s="2">
        <v>46051</v>
      </c>
      <c r="O172" s="2">
        <v>46038</v>
      </c>
      <c r="P172" s="2">
        <v>46066</v>
      </c>
      <c r="Q172" s="2">
        <v>46066</v>
      </c>
      <c r="R172" s="2">
        <v>46094</v>
      </c>
      <c r="S172" s="1">
        <v>5</v>
      </c>
      <c r="W172" s="1">
        <f t="shared" si="38"/>
        <v>79</v>
      </c>
      <c r="X172" s="1">
        <f t="shared" si="39"/>
        <v>59</v>
      </c>
      <c r="Y172" s="1">
        <f t="shared" si="40"/>
        <v>0</v>
      </c>
      <c r="Z172" s="1">
        <f t="shared" si="44"/>
        <v>48</v>
      </c>
      <c r="AA172" s="1">
        <f t="shared" si="41"/>
        <v>2</v>
      </c>
      <c r="AB172" s="1">
        <f t="shared" si="45"/>
        <v>47</v>
      </c>
      <c r="AC172" s="1">
        <f t="shared" si="46"/>
        <v>-3</v>
      </c>
      <c r="AD172" s="1">
        <f t="shared" si="42"/>
        <v>39</v>
      </c>
      <c r="AE172" s="1">
        <f t="shared" si="47"/>
        <v>32</v>
      </c>
      <c r="AF172" s="1" t="str">
        <f t="shared" si="48"/>
        <v>PAS DE DATE PAPIER</v>
      </c>
      <c r="AG172" s="1" t="str">
        <f t="shared" si="49"/>
        <v>STOCK</v>
      </c>
      <c r="AH172" s="1">
        <f t="shared" si="50"/>
        <v>8</v>
      </c>
      <c r="AI172" s="1">
        <f t="shared" si="51"/>
        <v>21</v>
      </c>
      <c r="AJ172" s="1">
        <f t="shared" si="52"/>
        <v>11</v>
      </c>
      <c r="AK172" s="1">
        <f t="shared" si="55"/>
        <v>7</v>
      </c>
      <c r="AL172" s="1">
        <f t="shared" si="53"/>
        <v>9</v>
      </c>
      <c r="AM172" s="1">
        <f t="shared" si="43"/>
        <v>11</v>
      </c>
      <c r="AN172" s="1">
        <f t="shared" si="54"/>
        <v>20</v>
      </c>
    </row>
    <row r="173" spans="1:40" hidden="1" x14ac:dyDescent="0.3">
      <c r="A173" s="1">
        <v>25234</v>
      </c>
      <c r="B173" s="1" t="s">
        <v>13</v>
      </c>
      <c r="C173" s="3" t="s">
        <v>276</v>
      </c>
      <c r="D173" s="4">
        <v>15000</v>
      </c>
      <c r="E173" s="2" t="s">
        <v>134</v>
      </c>
      <c r="F173" s="2">
        <v>45986</v>
      </c>
      <c r="G173" s="2">
        <v>45993</v>
      </c>
      <c r="H173" s="2">
        <v>46059</v>
      </c>
      <c r="I173" s="2">
        <v>46008</v>
      </c>
      <c r="K173" s="2">
        <v>46009</v>
      </c>
      <c r="L173" s="2">
        <v>46043</v>
      </c>
      <c r="M173" s="2">
        <v>46029</v>
      </c>
      <c r="N173" s="2">
        <v>46115</v>
      </c>
      <c r="O173" s="2">
        <v>46065</v>
      </c>
      <c r="P173" s="2">
        <v>46094</v>
      </c>
      <c r="Q173" s="2">
        <v>46094</v>
      </c>
      <c r="R173" s="2">
        <v>46126</v>
      </c>
      <c r="S173" s="1">
        <v>5</v>
      </c>
      <c r="W173" s="1">
        <f t="shared" si="38"/>
        <v>100</v>
      </c>
      <c r="X173" s="1">
        <f t="shared" si="39"/>
        <v>78</v>
      </c>
      <c r="Y173" s="1">
        <f t="shared" si="40"/>
        <v>0</v>
      </c>
      <c r="Z173" s="1">
        <f t="shared" si="44"/>
        <v>93</v>
      </c>
      <c r="AA173" s="1">
        <f t="shared" si="41"/>
        <v>5</v>
      </c>
      <c r="AB173" s="1">
        <f t="shared" si="45"/>
        <v>48</v>
      </c>
      <c r="AC173" s="1">
        <f t="shared" si="46"/>
        <v>40</v>
      </c>
      <c r="AD173" s="1">
        <f t="shared" si="42"/>
        <v>57</v>
      </c>
      <c r="AE173" s="1">
        <f t="shared" si="47"/>
        <v>41</v>
      </c>
      <c r="AF173" s="1">
        <f t="shared" si="48"/>
        <v>17</v>
      </c>
      <c r="AG173" s="1">
        <f t="shared" si="49"/>
        <v>31</v>
      </c>
      <c r="AH173" s="1">
        <f t="shared" si="50"/>
        <v>16</v>
      </c>
      <c r="AI173" s="1" t="str">
        <f t="shared" si="51"/>
        <v>PAS DE DATE VALIDATION MODELE CLIENT</v>
      </c>
      <c r="AJ173" s="1">
        <f t="shared" si="52"/>
        <v>25</v>
      </c>
      <c r="AK173" s="1">
        <f t="shared" si="55"/>
        <v>16</v>
      </c>
      <c r="AL173" s="1">
        <f t="shared" si="53"/>
        <v>36</v>
      </c>
      <c r="AM173" s="1">
        <f t="shared" si="43"/>
        <v>-17</v>
      </c>
      <c r="AN173" s="1">
        <f t="shared" si="54"/>
        <v>22</v>
      </c>
    </row>
    <row r="174" spans="1:40" hidden="1" x14ac:dyDescent="0.3">
      <c r="A174" s="1">
        <v>25235</v>
      </c>
      <c r="B174" s="1" t="s">
        <v>13</v>
      </c>
      <c r="C174" s="3" t="s">
        <v>277</v>
      </c>
      <c r="D174" s="4">
        <v>15000</v>
      </c>
      <c r="E174" s="2" t="s">
        <v>136</v>
      </c>
      <c r="F174" s="2">
        <v>45986</v>
      </c>
      <c r="G174" s="2">
        <v>45993</v>
      </c>
      <c r="I174" s="2">
        <v>46008</v>
      </c>
      <c r="W174" s="1" t="str">
        <f t="shared" si="38"/>
        <v>NON LIVRE</v>
      </c>
      <c r="X174" s="1" t="str">
        <f t="shared" si="39"/>
        <v>NON LIVRE</v>
      </c>
      <c r="Y174" s="1" t="str">
        <f t="shared" si="40"/>
        <v>NON LIVRE</v>
      </c>
      <c r="Z174" s="1" t="str">
        <f t="shared" si="44"/>
        <v>NON LIVRE</v>
      </c>
      <c r="AA174" s="1" t="str">
        <f t="shared" si="41"/>
        <v>NON LIVRE</v>
      </c>
      <c r="AB174" s="1" t="str">
        <f t="shared" si="45"/>
        <v>NON LIVRE</v>
      </c>
      <c r="AC174" s="1" t="str">
        <f t="shared" si="46"/>
        <v>NON LIVRE</v>
      </c>
      <c r="AD174" s="1" t="str">
        <f t="shared" si="42"/>
        <v>NON LIVRE</v>
      </c>
      <c r="AE174" s="1" t="str">
        <f t="shared" si="47"/>
        <v>NON LIVRE</v>
      </c>
      <c r="AF174" s="1" t="str">
        <f t="shared" si="48"/>
        <v>NON LIVRE</v>
      </c>
      <c r="AG174" s="1" t="str">
        <f t="shared" si="49"/>
        <v>NON LIVRE</v>
      </c>
      <c r="AH174" s="1" t="str">
        <f t="shared" si="50"/>
        <v>NON LIVRE</v>
      </c>
      <c r="AI174" s="1" t="str">
        <f t="shared" si="51"/>
        <v>NON LIVRE</v>
      </c>
      <c r="AJ174" s="1" t="str">
        <f t="shared" si="52"/>
        <v>NON LIVRE</v>
      </c>
      <c r="AK174" s="1" t="str">
        <f t="shared" si="55"/>
        <v>NON LIVRE</v>
      </c>
      <c r="AL174" s="1" t="str">
        <f t="shared" si="53"/>
        <v>NON LIVRE</v>
      </c>
      <c r="AM174" s="1" t="str">
        <f t="shared" si="43"/>
        <v>NON LIVRE</v>
      </c>
      <c r="AN174" s="1" t="str">
        <f t="shared" si="54"/>
        <v>NON LIVRE</v>
      </c>
    </row>
    <row r="175" spans="1:40" hidden="1" x14ac:dyDescent="0.3">
      <c r="A175" s="1">
        <v>25236</v>
      </c>
      <c r="B175" s="1" t="s">
        <v>13</v>
      </c>
      <c r="C175" s="3" t="s">
        <v>278</v>
      </c>
      <c r="D175" s="4">
        <v>5000</v>
      </c>
      <c r="E175" s="2" t="s">
        <v>300</v>
      </c>
      <c r="F175" s="2">
        <v>45986</v>
      </c>
      <c r="G175" s="2">
        <v>45993</v>
      </c>
      <c r="H175" s="2">
        <v>46129</v>
      </c>
      <c r="I175" s="2">
        <v>46009</v>
      </c>
      <c r="J175" s="2">
        <v>46058</v>
      </c>
      <c r="K175" s="2">
        <v>46013</v>
      </c>
      <c r="L175" s="2">
        <v>46064</v>
      </c>
      <c r="M175" s="2">
        <v>46058</v>
      </c>
      <c r="N175" s="2">
        <v>46108</v>
      </c>
      <c r="O175" s="2">
        <v>46087</v>
      </c>
      <c r="P175" s="2">
        <v>46122</v>
      </c>
      <c r="Q175" s="2">
        <v>46129</v>
      </c>
      <c r="R175" s="2">
        <v>46150</v>
      </c>
      <c r="S175" s="1">
        <v>4</v>
      </c>
      <c r="W175" s="1">
        <f t="shared" si="38"/>
        <v>118</v>
      </c>
      <c r="X175" s="1">
        <f t="shared" si="39"/>
        <v>103</v>
      </c>
      <c r="Y175" s="1">
        <f t="shared" si="40"/>
        <v>5</v>
      </c>
      <c r="Z175" s="1">
        <f t="shared" si="44"/>
        <v>88</v>
      </c>
      <c r="AA175" s="1">
        <f t="shared" si="41"/>
        <v>5</v>
      </c>
      <c r="AB175" s="1">
        <f t="shared" si="45"/>
        <v>98</v>
      </c>
      <c r="AC175" s="1">
        <f t="shared" si="46"/>
        <v>-17</v>
      </c>
      <c r="AD175" s="1">
        <f t="shared" si="42"/>
        <v>73</v>
      </c>
      <c r="AE175" s="1">
        <f t="shared" si="47"/>
        <v>56</v>
      </c>
      <c r="AF175" s="1">
        <f t="shared" si="48"/>
        <v>19</v>
      </c>
      <c r="AG175" s="1">
        <f t="shared" si="49"/>
        <v>52</v>
      </c>
      <c r="AH175" s="1">
        <f t="shared" si="50"/>
        <v>17</v>
      </c>
      <c r="AI175" s="1">
        <f t="shared" si="51"/>
        <v>52</v>
      </c>
      <c r="AJ175" s="1">
        <f t="shared" si="52"/>
        <v>4</v>
      </c>
      <c r="AK175" s="1">
        <f t="shared" si="55"/>
        <v>17</v>
      </c>
      <c r="AL175" s="1">
        <f t="shared" si="53"/>
        <v>15</v>
      </c>
      <c r="AM175" s="1">
        <f t="shared" si="43"/>
        <v>15</v>
      </c>
      <c r="AN175" s="1">
        <f t="shared" si="54"/>
        <v>15</v>
      </c>
    </row>
    <row r="176" spans="1:40" hidden="1" x14ac:dyDescent="0.3">
      <c r="A176" s="1">
        <v>25237</v>
      </c>
      <c r="B176" s="1" t="s">
        <v>13</v>
      </c>
      <c r="C176" s="3" t="s">
        <v>279</v>
      </c>
      <c r="D176" s="4">
        <v>3500</v>
      </c>
      <c r="E176" s="2" t="s">
        <v>301</v>
      </c>
      <c r="F176" s="2">
        <v>45986</v>
      </c>
      <c r="G176" s="2">
        <v>45993</v>
      </c>
      <c r="I176" s="2">
        <v>46009</v>
      </c>
      <c r="P176" s="2">
        <v>46142</v>
      </c>
      <c r="Q176" s="2">
        <v>46142</v>
      </c>
      <c r="R176" s="2">
        <v>46157</v>
      </c>
      <c r="S176" s="1">
        <v>2</v>
      </c>
      <c r="W176" s="1">
        <f t="shared" si="38"/>
        <v>123</v>
      </c>
      <c r="X176" s="1">
        <f t="shared" si="39"/>
        <v>112</v>
      </c>
      <c r="Y176" s="1">
        <f t="shared" si="40"/>
        <v>0</v>
      </c>
      <c r="Z176" s="1" t="str">
        <f t="shared" si="44"/>
        <v>PAS DE DEPART MATIERE</v>
      </c>
      <c r="AA176" s="1">
        <f t="shared" si="41"/>
        <v>5</v>
      </c>
      <c r="AB176" s="1" t="str">
        <f t="shared" si="45"/>
        <v>PAS DE COMMANDE MATIERE</v>
      </c>
      <c r="AC176" s="1" t="str">
        <f t="shared" si="46"/>
        <v>PAS DE COMMANDE MATIERE</v>
      </c>
      <c r="AD176" s="1" t="str">
        <f t="shared" si="42"/>
        <v>PAS DE DEPART TIRAGES OU ACHATS</v>
      </c>
      <c r="AE176" s="1" t="str">
        <f t="shared" si="47"/>
        <v>PAS DE DATE IMPRESSION</v>
      </c>
      <c r="AF176" s="1" t="str">
        <f t="shared" si="48"/>
        <v>PAS DE DATE PAPIER</v>
      </c>
      <c r="AG176" s="1" t="str">
        <f t="shared" si="49"/>
        <v>PAS DE DATE CARTON</v>
      </c>
      <c r="AH176" s="1">
        <f t="shared" si="50"/>
        <v>17</v>
      </c>
      <c r="AI176" s="1" t="str">
        <f t="shared" si="51"/>
        <v>PAS DE DATE VALIDATION MODELE CLIENT</v>
      </c>
      <c r="AJ176" s="1" t="str">
        <f t="shared" si="52"/>
        <v>PAS DE DATE IMPRESSION</v>
      </c>
      <c r="AK176" s="1" t="str">
        <f t="shared" si="55"/>
        <v>PAS D'IMPRESSION</v>
      </c>
      <c r="AL176" s="1" t="str">
        <f t="shared" si="53"/>
        <v>PAS D'EXPEDITION DE MATIERE, D'IMPRESSION, OU D'ACHAT</v>
      </c>
      <c r="AM176" s="1" t="str">
        <f t="shared" si="43"/>
        <v>PAS D'EXPEDITION DE MATIERE, D'IMPRESSION, OU D'ACHAT</v>
      </c>
      <c r="AN176" s="1" t="str">
        <f t="shared" si="54"/>
        <v>PAS D'IMPRESSION</v>
      </c>
    </row>
    <row r="177" spans="1:40" hidden="1" x14ac:dyDescent="0.3">
      <c r="A177" s="1">
        <v>25238</v>
      </c>
      <c r="B177" s="1" t="s">
        <v>280</v>
      </c>
      <c r="C177" s="3" t="s">
        <v>179</v>
      </c>
      <c r="D177" s="4">
        <v>600</v>
      </c>
      <c r="E177" s="2" t="s">
        <v>179</v>
      </c>
      <c r="F177" s="2">
        <v>45988</v>
      </c>
      <c r="I177" s="2">
        <v>45993</v>
      </c>
      <c r="L177" s="2">
        <v>46000</v>
      </c>
      <c r="M177" s="2" t="s">
        <v>199</v>
      </c>
      <c r="O177" s="2">
        <v>46062</v>
      </c>
      <c r="P177" s="2">
        <v>46031</v>
      </c>
      <c r="Q177" s="2">
        <v>46031</v>
      </c>
      <c r="R177" s="2">
        <v>46031</v>
      </c>
      <c r="S177" s="4">
        <v>1</v>
      </c>
      <c r="W177" s="1">
        <f t="shared" si="38"/>
        <v>31</v>
      </c>
      <c r="X177" s="1">
        <f t="shared" si="39"/>
        <v>31</v>
      </c>
      <c r="Y177" s="1">
        <f t="shared" si="40"/>
        <v>0</v>
      </c>
      <c r="Z177" s="1" t="str">
        <f t="shared" si="44"/>
        <v>PAS DE DEPART MATIERE</v>
      </c>
      <c r="AA177" s="1" t="str">
        <f t="shared" si="41"/>
        <v>PAS DE COMMANDE MATIERE</v>
      </c>
      <c r="AB177" s="1" t="str">
        <f t="shared" si="45"/>
        <v>PAS DE COMMANDE MATIERE</v>
      </c>
      <c r="AC177" s="1" t="str">
        <f t="shared" si="46"/>
        <v>PAS DE COMMANDE MATIERE</v>
      </c>
      <c r="AD177" s="1">
        <f t="shared" si="42"/>
        <v>52</v>
      </c>
      <c r="AE177" s="1">
        <f t="shared" si="47"/>
        <v>8</v>
      </c>
      <c r="AF177" s="1" t="str">
        <f t="shared" si="48"/>
        <v>PAS DE DATE PAPIER</v>
      </c>
      <c r="AG177" s="1" t="str">
        <f t="shared" si="49"/>
        <v>STOCK</v>
      </c>
      <c r="AH177" s="1">
        <f t="shared" si="50"/>
        <v>3</v>
      </c>
      <c r="AI177" s="1" t="str">
        <f t="shared" si="51"/>
        <v>PAS DE DATE VALIDATION MODELE CLIENT</v>
      </c>
      <c r="AJ177" s="1">
        <f t="shared" si="52"/>
        <v>5</v>
      </c>
      <c r="AK177" s="1">
        <f t="shared" si="55"/>
        <v>44</v>
      </c>
      <c r="AL177" s="1">
        <f t="shared" si="53"/>
        <v>0</v>
      </c>
      <c r="AM177" s="1">
        <f t="shared" si="43"/>
        <v>-23</v>
      </c>
      <c r="AN177" s="1" t="str">
        <f t="shared" si="54"/>
        <v>PAS D'IMPRESSION</v>
      </c>
    </row>
    <row r="178" spans="1:40" hidden="1" x14ac:dyDescent="0.3">
      <c r="A178" s="1">
        <v>25239</v>
      </c>
      <c r="B178" s="1" t="s">
        <v>17</v>
      </c>
      <c r="C178" s="3" t="s">
        <v>281</v>
      </c>
      <c r="D178" s="4">
        <v>2000</v>
      </c>
      <c r="E178" s="2" t="s">
        <v>136</v>
      </c>
      <c r="F178" s="2">
        <v>45993</v>
      </c>
      <c r="G178" s="2">
        <v>45995</v>
      </c>
      <c r="M178" s="2">
        <v>46029</v>
      </c>
      <c r="W178" s="1" t="str">
        <f t="shared" si="38"/>
        <v>NON LIVRE</v>
      </c>
      <c r="X178" s="1" t="str">
        <f t="shared" si="39"/>
        <v>NON LIVRE</v>
      </c>
      <c r="Y178" s="1" t="str">
        <f t="shared" si="40"/>
        <v>NON LIVRE</v>
      </c>
      <c r="Z178" s="1" t="str">
        <f t="shared" si="44"/>
        <v>NON LIVRE</v>
      </c>
      <c r="AA178" s="1" t="str">
        <f t="shared" si="41"/>
        <v>NON LIVRE</v>
      </c>
      <c r="AB178" s="1" t="str">
        <f t="shared" si="45"/>
        <v>NON LIVRE</v>
      </c>
      <c r="AC178" s="1" t="str">
        <f t="shared" si="46"/>
        <v>NON LIVRE</v>
      </c>
      <c r="AD178" s="1" t="str">
        <f t="shared" si="42"/>
        <v>NON LIVRE</v>
      </c>
      <c r="AE178" s="1" t="str">
        <f t="shared" si="47"/>
        <v>NON LIVRE</v>
      </c>
      <c r="AF178" s="1" t="str">
        <f t="shared" si="48"/>
        <v>NON LIVRE</v>
      </c>
      <c r="AG178" s="1" t="str">
        <f t="shared" si="49"/>
        <v>NON LIVRE</v>
      </c>
      <c r="AH178" s="1" t="str">
        <f t="shared" si="50"/>
        <v>NON LIVRE</v>
      </c>
      <c r="AI178" s="1" t="str">
        <f t="shared" si="51"/>
        <v>NON LIVRE</v>
      </c>
      <c r="AJ178" s="1" t="str">
        <f t="shared" si="52"/>
        <v>NON LIVRE</v>
      </c>
      <c r="AK178" s="1" t="str">
        <f t="shared" si="55"/>
        <v>NON LIVRE</v>
      </c>
      <c r="AL178" s="1" t="str">
        <f t="shared" si="53"/>
        <v>NON LIVRE</v>
      </c>
      <c r="AM178" s="1" t="str">
        <f t="shared" si="43"/>
        <v>NON LIVRE</v>
      </c>
      <c r="AN178" s="1" t="str">
        <f t="shared" si="54"/>
        <v>NON LIVRE</v>
      </c>
    </row>
    <row r="179" spans="1:40" hidden="1" x14ac:dyDescent="0.3">
      <c r="A179" s="1">
        <v>25240</v>
      </c>
      <c r="B179" s="1" t="s">
        <v>282</v>
      </c>
      <c r="C179" s="3" t="s">
        <v>283</v>
      </c>
      <c r="D179" s="4">
        <v>900</v>
      </c>
      <c r="E179" s="2" t="s">
        <v>165</v>
      </c>
      <c r="F179" s="2">
        <v>45996</v>
      </c>
      <c r="M179" s="2">
        <v>46029</v>
      </c>
      <c r="W179" s="1" t="str">
        <f t="shared" si="38"/>
        <v>NON LIVRE</v>
      </c>
      <c r="X179" s="1" t="str">
        <f t="shared" si="39"/>
        <v>NON LIVRE</v>
      </c>
      <c r="Y179" s="1" t="str">
        <f t="shared" si="40"/>
        <v>NON LIVRE</v>
      </c>
      <c r="Z179" s="1" t="str">
        <f t="shared" si="44"/>
        <v>NON LIVRE</v>
      </c>
      <c r="AA179" s="1" t="str">
        <f t="shared" si="41"/>
        <v>NON LIVRE</v>
      </c>
      <c r="AB179" s="1" t="str">
        <f t="shared" si="45"/>
        <v>NON LIVRE</v>
      </c>
      <c r="AC179" s="1" t="str">
        <f t="shared" si="46"/>
        <v>NON LIVRE</v>
      </c>
      <c r="AD179" s="1" t="str">
        <f t="shared" si="42"/>
        <v>NON LIVRE</v>
      </c>
      <c r="AE179" s="1" t="str">
        <f t="shared" si="47"/>
        <v>NON LIVRE</v>
      </c>
      <c r="AF179" s="1" t="str">
        <f t="shared" si="48"/>
        <v>NON LIVRE</v>
      </c>
      <c r="AG179" s="1" t="str">
        <f t="shared" si="49"/>
        <v>NON LIVRE</v>
      </c>
      <c r="AH179" s="1" t="str">
        <f t="shared" si="50"/>
        <v>NON LIVRE</v>
      </c>
      <c r="AI179" s="1" t="str">
        <f t="shared" si="51"/>
        <v>NON LIVRE</v>
      </c>
      <c r="AJ179" s="1" t="str">
        <f t="shared" si="52"/>
        <v>NON LIVRE</v>
      </c>
      <c r="AK179" s="1" t="str">
        <f t="shared" si="55"/>
        <v>NON LIVRE</v>
      </c>
      <c r="AL179" s="1" t="str">
        <f t="shared" si="53"/>
        <v>NON LIVRE</v>
      </c>
      <c r="AM179" s="1" t="str">
        <f t="shared" si="43"/>
        <v>NON LIVRE</v>
      </c>
      <c r="AN179" s="1" t="str">
        <f t="shared" si="54"/>
        <v>NON LIVRE</v>
      </c>
    </row>
    <row r="180" spans="1:40" hidden="1" x14ac:dyDescent="0.3">
      <c r="A180" s="1">
        <v>25241</v>
      </c>
      <c r="B180" s="1" t="s">
        <v>105</v>
      </c>
      <c r="C180" s="3" t="s">
        <v>284</v>
      </c>
      <c r="D180" s="4" t="s">
        <v>285</v>
      </c>
      <c r="E180" s="2" t="s">
        <v>149</v>
      </c>
      <c r="F180" s="2">
        <v>45999</v>
      </c>
      <c r="W180" s="1" t="str">
        <f t="shared" si="38"/>
        <v>NON LIVRE</v>
      </c>
      <c r="X180" s="1" t="str">
        <f t="shared" si="39"/>
        <v>NON LIVRE</v>
      </c>
      <c r="Y180" s="1" t="str">
        <f t="shared" si="40"/>
        <v>NON LIVRE</v>
      </c>
      <c r="Z180" s="1" t="str">
        <f t="shared" si="44"/>
        <v>NON LIVRE</v>
      </c>
      <c r="AA180" s="1" t="str">
        <f t="shared" si="41"/>
        <v>NON LIVRE</v>
      </c>
      <c r="AB180" s="1" t="str">
        <f t="shared" si="45"/>
        <v>NON LIVRE</v>
      </c>
      <c r="AC180" s="1" t="str">
        <f t="shared" si="46"/>
        <v>NON LIVRE</v>
      </c>
      <c r="AD180" s="1" t="str">
        <f t="shared" si="42"/>
        <v>NON LIVRE</v>
      </c>
      <c r="AE180" s="1" t="str">
        <f t="shared" si="47"/>
        <v>NON LIVRE</v>
      </c>
      <c r="AF180" s="1" t="str">
        <f t="shared" si="48"/>
        <v>NON LIVRE</v>
      </c>
      <c r="AG180" s="1" t="str">
        <f t="shared" si="49"/>
        <v>NON LIVRE</v>
      </c>
      <c r="AH180" s="1" t="str">
        <f t="shared" si="50"/>
        <v>NON LIVRE</v>
      </c>
      <c r="AI180" s="1" t="str">
        <f t="shared" si="51"/>
        <v>NON LIVRE</v>
      </c>
      <c r="AJ180" s="1" t="str">
        <f t="shared" si="52"/>
        <v>NON LIVRE</v>
      </c>
      <c r="AK180" s="1" t="str">
        <f t="shared" si="55"/>
        <v>NON LIVRE</v>
      </c>
      <c r="AL180" s="1" t="str">
        <f t="shared" si="53"/>
        <v>NON LIVRE</v>
      </c>
      <c r="AM180" s="1" t="str">
        <f t="shared" si="43"/>
        <v>NON LIVRE</v>
      </c>
      <c r="AN180" s="1" t="str">
        <f t="shared" si="54"/>
        <v>NON LIVRE</v>
      </c>
    </row>
    <row r="181" spans="1:40" hidden="1" x14ac:dyDescent="0.3">
      <c r="A181" s="1">
        <v>25242</v>
      </c>
      <c r="B181" s="1" t="s">
        <v>286</v>
      </c>
      <c r="C181" s="3" t="s">
        <v>287</v>
      </c>
      <c r="F181" s="2">
        <v>45999</v>
      </c>
      <c r="I181" s="2">
        <v>46009</v>
      </c>
      <c r="N181" s="2">
        <v>46031</v>
      </c>
      <c r="O181" s="2">
        <v>46031</v>
      </c>
      <c r="W181" s="1" t="str">
        <f t="shared" si="38"/>
        <v>NON LIVRE</v>
      </c>
      <c r="X181" s="1" t="str">
        <f t="shared" si="39"/>
        <v>NON LIVRE</v>
      </c>
      <c r="Y181" s="1" t="str">
        <f t="shared" si="40"/>
        <v>NON LIVRE</v>
      </c>
      <c r="Z181" s="1" t="str">
        <f t="shared" si="44"/>
        <v>NON LIVRE</v>
      </c>
      <c r="AA181" s="1" t="str">
        <f t="shared" si="41"/>
        <v>NON LIVRE</v>
      </c>
      <c r="AB181" s="1" t="str">
        <f t="shared" si="45"/>
        <v>NON LIVRE</v>
      </c>
      <c r="AC181" s="1" t="str">
        <f t="shared" si="46"/>
        <v>NON LIVRE</v>
      </c>
      <c r="AD181" s="1" t="str">
        <f t="shared" si="42"/>
        <v>NON LIVRE</v>
      </c>
      <c r="AE181" s="1" t="str">
        <f t="shared" si="47"/>
        <v>NON LIVRE</v>
      </c>
      <c r="AF181" s="1" t="str">
        <f t="shared" si="48"/>
        <v>NON LIVRE</v>
      </c>
      <c r="AG181" s="1" t="str">
        <f t="shared" si="49"/>
        <v>NON LIVRE</v>
      </c>
      <c r="AH181" s="1" t="str">
        <f t="shared" si="50"/>
        <v>NON LIVRE</v>
      </c>
      <c r="AI181" s="1" t="str">
        <f t="shared" si="51"/>
        <v>NON LIVRE</v>
      </c>
      <c r="AJ181" s="1" t="str">
        <f t="shared" si="52"/>
        <v>NON LIVRE</v>
      </c>
      <c r="AK181" s="1" t="str">
        <f t="shared" si="55"/>
        <v>NON LIVRE</v>
      </c>
      <c r="AL181" s="1" t="str">
        <f t="shared" si="53"/>
        <v>NON LIVRE</v>
      </c>
      <c r="AM181" s="1" t="str">
        <f t="shared" si="43"/>
        <v>NON LIVRE</v>
      </c>
      <c r="AN181" s="1" t="str">
        <f t="shared" si="54"/>
        <v>NON LIVRE</v>
      </c>
    </row>
    <row r="182" spans="1:40" hidden="1" x14ac:dyDescent="0.3">
      <c r="A182" s="1">
        <v>25243</v>
      </c>
      <c r="B182" s="1" t="s">
        <v>41</v>
      </c>
      <c r="C182" s="3" t="s">
        <v>288</v>
      </c>
      <c r="D182" s="4">
        <v>130</v>
      </c>
      <c r="E182" s="2" t="s">
        <v>137</v>
      </c>
      <c r="F182" s="2">
        <v>46002</v>
      </c>
      <c r="G182" s="2">
        <v>46006</v>
      </c>
      <c r="H182" s="2">
        <v>46037</v>
      </c>
      <c r="I182" s="2">
        <v>46021</v>
      </c>
      <c r="J182" s="2" t="s">
        <v>315</v>
      </c>
      <c r="L182" s="2">
        <v>46044</v>
      </c>
      <c r="N182" s="2">
        <v>46045</v>
      </c>
      <c r="O182" s="2">
        <v>46044</v>
      </c>
      <c r="P182" s="2">
        <v>46080</v>
      </c>
      <c r="Q182" s="2">
        <v>46080</v>
      </c>
      <c r="R182" s="2">
        <v>46080</v>
      </c>
      <c r="S182" s="1">
        <v>1</v>
      </c>
      <c r="W182" s="1">
        <f t="shared" si="38"/>
        <v>56</v>
      </c>
      <c r="X182" s="1">
        <f t="shared" si="39"/>
        <v>56</v>
      </c>
      <c r="Y182" s="1">
        <f t="shared" si="40"/>
        <v>0</v>
      </c>
      <c r="Z182" s="1">
        <f t="shared" si="44"/>
        <v>31</v>
      </c>
      <c r="AA182" s="1">
        <f t="shared" si="41"/>
        <v>2</v>
      </c>
      <c r="AB182" s="1">
        <f t="shared" si="45"/>
        <v>23</v>
      </c>
      <c r="AC182" s="1">
        <f t="shared" si="46"/>
        <v>6</v>
      </c>
      <c r="AD182" s="1">
        <f t="shared" si="42"/>
        <v>30</v>
      </c>
      <c r="AE182" s="1">
        <f t="shared" si="47"/>
        <v>30</v>
      </c>
      <c r="AF182" s="1" t="str">
        <f t="shared" si="48"/>
        <v>PAS DE DATE PAPIER</v>
      </c>
      <c r="AG182" s="1" t="str">
        <f t="shared" si="49"/>
        <v>PAS DE DATE CARTON</v>
      </c>
      <c r="AH182" s="1">
        <f t="shared" si="50"/>
        <v>13</v>
      </c>
      <c r="AI182" s="1" t="str">
        <f t="shared" si="51"/>
        <v>ANC FAB</v>
      </c>
      <c r="AJ182" s="1">
        <f t="shared" si="52"/>
        <v>17</v>
      </c>
      <c r="AK182" s="1">
        <f t="shared" si="55"/>
        <v>0</v>
      </c>
      <c r="AL182" s="1">
        <f t="shared" si="53"/>
        <v>1</v>
      </c>
      <c r="AM182" s="1">
        <f t="shared" si="43"/>
        <v>25</v>
      </c>
      <c r="AN182" s="1">
        <f t="shared" si="54"/>
        <v>0</v>
      </c>
    </row>
    <row r="183" spans="1:40" hidden="1" x14ac:dyDescent="0.3">
      <c r="A183" s="1">
        <v>25244</v>
      </c>
      <c r="B183" s="1" t="s">
        <v>264</v>
      </c>
      <c r="D183" s="4">
        <v>3300</v>
      </c>
      <c r="F183" s="2">
        <v>46006</v>
      </c>
      <c r="P183" s="2">
        <v>46052</v>
      </c>
      <c r="Q183" s="2">
        <v>46052</v>
      </c>
      <c r="R183" s="2">
        <v>46052</v>
      </c>
      <c r="S183" s="1">
        <v>1</v>
      </c>
      <c r="W183" s="1">
        <f t="shared" si="38"/>
        <v>34</v>
      </c>
      <c r="X183" s="1">
        <f t="shared" si="39"/>
        <v>34</v>
      </c>
      <c r="Y183" s="1">
        <f t="shared" si="40"/>
        <v>0</v>
      </c>
      <c r="Z183" s="1" t="str">
        <f t="shared" si="44"/>
        <v>PAS DE DEPART MATIERE</v>
      </c>
      <c r="AA183" s="1" t="str">
        <f t="shared" si="41"/>
        <v>PAS DE COMMANDE MATIERE</v>
      </c>
      <c r="AB183" s="1" t="str">
        <f t="shared" si="45"/>
        <v>PAS DE COMMANDE MATIERE</v>
      </c>
      <c r="AC183" s="1" t="str">
        <f t="shared" si="46"/>
        <v>PAS DE COMMANDE MATIERE</v>
      </c>
      <c r="AD183" s="1" t="str">
        <f t="shared" si="42"/>
        <v>PAS DE DEPART TIRAGES OU ACHATS</v>
      </c>
      <c r="AE183" s="1" t="str">
        <f t="shared" si="47"/>
        <v>PAS DE DATE IMPRESSION</v>
      </c>
      <c r="AF183" s="1" t="str">
        <f t="shared" si="48"/>
        <v>PAS DE DATE PAPIER</v>
      </c>
      <c r="AG183" s="1" t="str">
        <f t="shared" si="49"/>
        <v>PAS DE DATE CARTON</v>
      </c>
      <c r="AH183" s="1" t="str">
        <f t="shared" si="50"/>
        <v>PAS DE DATE FICHIER</v>
      </c>
      <c r="AI183" s="1" t="str">
        <f t="shared" si="51"/>
        <v>PAS DE DATE VALIDATION MODELE CLIENT</v>
      </c>
      <c r="AJ183" s="1" t="str">
        <f t="shared" si="52"/>
        <v>PAS DE DATE IMPRESSION</v>
      </c>
      <c r="AK183" s="1" t="str">
        <f t="shared" si="55"/>
        <v>PAS D'IMPRESSION</v>
      </c>
      <c r="AL183" s="1" t="str">
        <f t="shared" si="53"/>
        <v>PAS D'EXPEDITION DE MATIERE, D'IMPRESSION, OU D'ACHAT</v>
      </c>
      <c r="AM183" s="1" t="str">
        <f t="shared" si="43"/>
        <v>PAS D'EXPEDITION DE MATIERE, D'IMPRESSION, OU D'ACHAT</v>
      </c>
      <c r="AN183" s="1" t="str">
        <f t="shared" si="54"/>
        <v>PAS D'IMPRESSION</v>
      </c>
    </row>
    <row r="184" spans="1:40" hidden="1" x14ac:dyDescent="0.3">
      <c r="A184" s="1">
        <v>25245</v>
      </c>
      <c r="B184" s="1" t="s">
        <v>289</v>
      </c>
      <c r="C184" s="3" t="s">
        <v>290</v>
      </c>
      <c r="D184" s="4" t="s">
        <v>291</v>
      </c>
      <c r="E184" s="2" t="s">
        <v>241</v>
      </c>
      <c r="F184" s="2">
        <v>46007</v>
      </c>
      <c r="W184" s="1" t="str">
        <f t="shared" si="38"/>
        <v>NON LIVRE</v>
      </c>
      <c r="X184" s="1" t="str">
        <f t="shared" si="39"/>
        <v>NON LIVRE</v>
      </c>
      <c r="Y184" s="1" t="str">
        <f t="shared" si="40"/>
        <v>NON LIVRE</v>
      </c>
      <c r="Z184" s="1" t="str">
        <f t="shared" si="44"/>
        <v>NON LIVRE</v>
      </c>
      <c r="AA184" s="1" t="str">
        <f t="shared" si="41"/>
        <v>NON LIVRE</v>
      </c>
      <c r="AB184" s="1" t="str">
        <f t="shared" si="45"/>
        <v>NON LIVRE</v>
      </c>
      <c r="AC184" s="1" t="str">
        <f t="shared" si="46"/>
        <v>NON LIVRE</v>
      </c>
      <c r="AD184" s="1" t="str">
        <f t="shared" si="42"/>
        <v>NON LIVRE</v>
      </c>
      <c r="AE184" s="1" t="str">
        <f t="shared" si="47"/>
        <v>NON LIVRE</v>
      </c>
      <c r="AF184" s="1" t="str">
        <f t="shared" si="48"/>
        <v>NON LIVRE</v>
      </c>
      <c r="AG184" s="1" t="str">
        <f t="shared" si="49"/>
        <v>NON LIVRE</v>
      </c>
      <c r="AH184" s="1" t="str">
        <f t="shared" si="50"/>
        <v>NON LIVRE</v>
      </c>
      <c r="AI184" s="1" t="str">
        <f t="shared" si="51"/>
        <v>NON LIVRE</v>
      </c>
      <c r="AJ184" s="1" t="str">
        <f t="shared" si="52"/>
        <v>NON LIVRE</v>
      </c>
      <c r="AK184" s="1" t="str">
        <f t="shared" si="55"/>
        <v>NON LIVRE</v>
      </c>
      <c r="AL184" s="1" t="str">
        <f t="shared" si="53"/>
        <v>NON LIVRE</v>
      </c>
      <c r="AM184" s="1" t="str">
        <f t="shared" si="43"/>
        <v>NON LIVRE</v>
      </c>
      <c r="AN184" s="1" t="str">
        <f t="shared" si="54"/>
        <v>NON LIVRE</v>
      </c>
    </row>
    <row r="185" spans="1:40" hidden="1" x14ac:dyDescent="0.3">
      <c r="A185" s="1">
        <v>25246</v>
      </c>
      <c r="B185" s="1" t="s">
        <v>62</v>
      </c>
      <c r="C185" s="3" t="s">
        <v>292</v>
      </c>
      <c r="D185" s="4">
        <v>40</v>
      </c>
      <c r="E185" s="2" t="s">
        <v>190</v>
      </c>
      <c r="F185" s="2">
        <v>46007</v>
      </c>
      <c r="G185" s="2">
        <v>46007</v>
      </c>
      <c r="H185" s="2">
        <v>46378</v>
      </c>
      <c r="I185" s="2">
        <v>46040</v>
      </c>
      <c r="N185" s="2">
        <v>46042</v>
      </c>
      <c r="O185" s="2">
        <v>46044</v>
      </c>
      <c r="P185" s="2">
        <v>46080</v>
      </c>
      <c r="Q185" s="2">
        <v>46066</v>
      </c>
      <c r="R185" s="2">
        <v>46066</v>
      </c>
      <c r="S185" s="1">
        <v>1</v>
      </c>
      <c r="W185" s="1">
        <f t="shared" si="38"/>
        <v>43</v>
      </c>
      <c r="X185" s="1">
        <f t="shared" si="39"/>
        <v>43</v>
      </c>
      <c r="Y185" s="1">
        <f t="shared" si="40"/>
        <v>-12</v>
      </c>
      <c r="Z185" s="1">
        <f t="shared" si="44"/>
        <v>25</v>
      </c>
      <c r="AA185" s="1">
        <f t="shared" si="41"/>
        <v>0</v>
      </c>
      <c r="AB185" s="1">
        <f t="shared" si="45"/>
        <v>265</v>
      </c>
      <c r="AC185" s="1">
        <f t="shared" si="46"/>
        <v>-242</v>
      </c>
      <c r="AD185" s="1">
        <f t="shared" si="42"/>
        <v>27</v>
      </c>
      <c r="AE185" s="1" t="str">
        <f t="shared" si="47"/>
        <v>PAS DE DATE IMPRESSION</v>
      </c>
      <c r="AF185" s="1" t="str">
        <f t="shared" si="48"/>
        <v>PAS DE DATE PAPIER</v>
      </c>
      <c r="AG185" s="1" t="str">
        <f t="shared" si="49"/>
        <v>PAS DE DATE CARTON</v>
      </c>
      <c r="AH185" s="1">
        <f t="shared" si="50"/>
        <v>23</v>
      </c>
      <c r="AI185" s="1" t="str">
        <f t="shared" si="51"/>
        <v>PAS DE DATE VALIDATION MODELE CLIENT</v>
      </c>
      <c r="AJ185" s="1" t="str">
        <f t="shared" si="52"/>
        <v>PAS DE DATE IMPRESSION</v>
      </c>
      <c r="AK185" s="1" t="str">
        <f t="shared" si="55"/>
        <v>PAS D'IMPRESSION</v>
      </c>
      <c r="AL185" s="1">
        <f t="shared" si="53"/>
        <v>2</v>
      </c>
      <c r="AM185" s="1">
        <f t="shared" si="43"/>
        <v>16</v>
      </c>
      <c r="AN185" s="1">
        <f t="shared" si="54"/>
        <v>0</v>
      </c>
    </row>
    <row r="186" spans="1:40" hidden="1" x14ac:dyDescent="0.3">
      <c r="A186" s="1">
        <v>25247</v>
      </c>
      <c r="B186" s="1" t="s">
        <v>293</v>
      </c>
      <c r="C186" s="3" t="s">
        <v>294</v>
      </c>
      <c r="D186" s="4">
        <v>1500</v>
      </c>
      <c r="E186" s="2" t="s">
        <v>149</v>
      </c>
      <c r="F186" s="2">
        <v>46009</v>
      </c>
      <c r="G186" s="2">
        <v>45999</v>
      </c>
      <c r="M186" s="2">
        <v>46058</v>
      </c>
      <c r="W186" s="1" t="str">
        <f t="shared" si="38"/>
        <v>NON LIVRE</v>
      </c>
      <c r="X186" s="1" t="str">
        <f t="shared" si="39"/>
        <v>NON LIVRE</v>
      </c>
      <c r="Y186" s="1" t="str">
        <f t="shared" si="40"/>
        <v>NON LIVRE</v>
      </c>
      <c r="Z186" s="1" t="str">
        <f t="shared" si="44"/>
        <v>NON LIVRE</v>
      </c>
      <c r="AA186" s="1" t="str">
        <f t="shared" si="41"/>
        <v>NON LIVRE</v>
      </c>
      <c r="AB186" s="1" t="str">
        <f t="shared" si="45"/>
        <v>NON LIVRE</v>
      </c>
      <c r="AC186" s="1" t="str">
        <f t="shared" si="46"/>
        <v>NON LIVRE</v>
      </c>
      <c r="AD186" s="1" t="str">
        <f t="shared" si="42"/>
        <v>NON LIVRE</v>
      </c>
      <c r="AE186" s="1" t="str">
        <f t="shared" si="47"/>
        <v>NON LIVRE</v>
      </c>
      <c r="AF186" s="1" t="str">
        <f t="shared" si="48"/>
        <v>NON LIVRE</v>
      </c>
      <c r="AG186" s="1" t="str">
        <f t="shared" si="49"/>
        <v>NON LIVRE</v>
      </c>
      <c r="AH186" s="1" t="str">
        <f t="shared" si="50"/>
        <v>NON LIVRE</v>
      </c>
      <c r="AI186" s="1" t="str">
        <f t="shared" si="51"/>
        <v>NON LIVRE</v>
      </c>
      <c r="AJ186" s="1" t="str">
        <f t="shared" si="52"/>
        <v>NON LIVRE</v>
      </c>
      <c r="AK186" s="1" t="str">
        <f t="shared" si="55"/>
        <v>NON LIVRE</v>
      </c>
      <c r="AL186" s="1" t="str">
        <f t="shared" si="53"/>
        <v>NON LIVRE</v>
      </c>
      <c r="AM186" s="1" t="str">
        <f t="shared" si="43"/>
        <v>NON LIVRE</v>
      </c>
      <c r="AN186" s="1" t="str">
        <f t="shared" si="54"/>
        <v>NON LIVRE</v>
      </c>
    </row>
    <row r="187" spans="1:40" hidden="1" x14ac:dyDescent="0.3">
      <c r="A187" s="1">
        <v>25248</v>
      </c>
      <c r="B187" s="1" t="s">
        <v>35</v>
      </c>
      <c r="C187" s="3" t="s">
        <v>295</v>
      </c>
      <c r="D187" s="4">
        <v>1500</v>
      </c>
      <c r="E187" s="2" t="s">
        <v>156</v>
      </c>
      <c r="F187" s="2">
        <v>46009</v>
      </c>
      <c r="G187" s="2">
        <v>46015</v>
      </c>
      <c r="M187" s="2">
        <v>46058</v>
      </c>
      <c r="W187" s="1" t="str">
        <f t="shared" si="38"/>
        <v>NON LIVRE</v>
      </c>
      <c r="X187" s="1" t="str">
        <f t="shared" si="39"/>
        <v>NON LIVRE</v>
      </c>
      <c r="Y187" s="1" t="str">
        <f t="shared" si="40"/>
        <v>NON LIVRE</v>
      </c>
      <c r="Z187" s="1" t="str">
        <f t="shared" si="44"/>
        <v>NON LIVRE</v>
      </c>
      <c r="AA187" s="1" t="str">
        <f t="shared" si="41"/>
        <v>NON LIVRE</v>
      </c>
      <c r="AB187" s="1" t="str">
        <f t="shared" si="45"/>
        <v>NON LIVRE</v>
      </c>
      <c r="AC187" s="1" t="str">
        <f t="shared" si="46"/>
        <v>NON LIVRE</v>
      </c>
      <c r="AD187" s="1" t="str">
        <f t="shared" si="42"/>
        <v>NON LIVRE</v>
      </c>
      <c r="AE187" s="1" t="str">
        <f t="shared" si="47"/>
        <v>NON LIVRE</v>
      </c>
      <c r="AF187" s="1" t="str">
        <f t="shared" si="48"/>
        <v>NON LIVRE</v>
      </c>
      <c r="AG187" s="1" t="str">
        <f t="shared" si="49"/>
        <v>NON LIVRE</v>
      </c>
      <c r="AH187" s="1" t="str">
        <f t="shared" si="50"/>
        <v>NON LIVRE</v>
      </c>
      <c r="AI187" s="1" t="str">
        <f t="shared" si="51"/>
        <v>NON LIVRE</v>
      </c>
      <c r="AJ187" s="1" t="str">
        <f t="shared" si="52"/>
        <v>NON LIVRE</v>
      </c>
      <c r="AK187" s="1" t="str">
        <f t="shared" si="55"/>
        <v>NON LIVRE</v>
      </c>
      <c r="AL187" s="1" t="str">
        <f t="shared" si="53"/>
        <v>NON LIVRE</v>
      </c>
      <c r="AM187" s="1" t="str">
        <f t="shared" si="43"/>
        <v>NON LIVRE</v>
      </c>
      <c r="AN187" s="1" t="str">
        <f t="shared" si="54"/>
        <v>NON LIVRE</v>
      </c>
    </row>
    <row r="188" spans="1:40" hidden="1" x14ac:dyDescent="0.3">
      <c r="A188" s="1">
        <v>25249</v>
      </c>
      <c r="B188" s="1" t="s">
        <v>91</v>
      </c>
      <c r="C188" s="3" t="s">
        <v>296</v>
      </c>
      <c r="D188" s="4">
        <v>7940</v>
      </c>
      <c r="E188" s="2" t="s">
        <v>134</v>
      </c>
      <c r="F188" s="2">
        <v>46009</v>
      </c>
      <c r="G188" s="2">
        <v>46014</v>
      </c>
      <c r="H188" s="2">
        <v>46100</v>
      </c>
      <c r="I188" s="2">
        <v>46092</v>
      </c>
      <c r="J188" s="2">
        <v>46079</v>
      </c>
      <c r="K188" s="2" t="s">
        <v>334</v>
      </c>
      <c r="L188" s="2">
        <v>46113</v>
      </c>
      <c r="M188" s="2">
        <v>46058</v>
      </c>
      <c r="N188" s="2">
        <v>46108</v>
      </c>
      <c r="O188" s="2">
        <v>46115</v>
      </c>
      <c r="P188" s="2">
        <v>46142</v>
      </c>
      <c r="Q188" s="2">
        <v>46136</v>
      </c>
      <c r="R188" s="2">
        <v>46136</v>
      </c>
      <c r="S188" s="1">
        <v>2</v>
      </c>
      <c r="W188" s="1">
        <f t="shared" si="38"/>
        <v>91</v>
      </c>
      <c r="X188" s="1">
        <f t="shared" si="39"/>
        <v>91</v>
      </c>
      <c r="Y188" s="1">
        <f t="shared" si="40"/>
        <v>-6</v>
      </c>
      <c r="Z188" s="1">
        <f t="shared" si="44"/>
        <v>71</v>
      </c>
      <c r="AA188" s="1">
        <f t="shared" si="41"/>
        <v>3</v>
      </c>
      <c r="AB188" s="1">
        <f t="shared" si="45"/>
        <v>62</v>
      </c>
      <c r="AC188" s="1">
        <f t="shared" si="46"/>
        <v>6</v>
      </c>
      <c r="AD188" s="1">
        <f t="shared" si="42"/>
        <v>76</v>
      </c>
      <c r="AE188" s="1">
        <f t="shared" si="47"/>
        <v>74</v>
      </c>
      <c r="AF188" s="1" t="str">
        <f t="shared" si="48"/>
        <v>X</v>
      </c>
      <c r="AG188" s="1">
        <f t="shared" si="49"/>
        <v>35</v>
      </c>
      <c r="AH188" s="1">
        <f t="shared" si="50"/>
        <v>59</v>
      </c>
      <c r="AI188" s="1">
        <f t="shared" si="51"/>
        <v>50</v>
      </c>
      <c r="AJ188" s="1">
        <f t="shared" si="52"/>
        <v>15</v>
      </c>
      <c r="AK188" s="1">
        <f t="shared" si="55"/>
        <v>2</v>
      </c>
      <c r="AL188" s="1">
        <f t="shared" si="53"/>
        <v>5</v>
      </c>
      <c r="AM188" s="1">
        <f t="shared" si="43"/>
        <v>15</v>
      </c>
      <c r="AN188" s="1">
        <f t="shared" si="54"/>
        <v>0</v>
      </c>
    </row>
    <row r="189" spans="1:40" hidden="1" x14ac:dyDescent="0.3">
      <c r="A189" s="1">
        <v>25250</v>
      </c>
      <c r="B189" s="1" t="s">
        <v>91</v>
      </c>
      <c r="C189" s="3" t="s">
        <v>297</v>
      </c>
      <c r="D189" s="4">
        <v>2700</v>
      </c>
      <c r="E189" s="2" t="s">
        <v>136</v>
      </c>
      <c r="F189" s="2">
        <v>46009</v>
      </c>
      <c r="G189" s="2">
        <v>46014</v>
      </c>
      <c r="H189" s="2">
        <v>46099</v>
      </c>
      <c r="I189" s="2">
        <v>46093</v>
      </c>
      <c r="J189" s="2">
        <v>46079</v>
      </c>
      <c r="K189" s="2" t="s">
        <v>334</v>
      </c>
      <c r="L189" s="2">
        <v>46106</v>
      </c>
      <c r="M189" s="2">
        <v>46058</v>
      </c>
      <c r="N189" s="2">
        <v>46122</v>
      </c>
      <c r="O189" s="2">
        <v>46121</v>
      </c>
      <c r="P189" s="2">
        <v>46157</v>
      </c>
      <c r="Q189" s="2">
        <v>46150</v>
      </c>
      <c r="R189" s="2">
        <v>46150</v>
      </c>
      <c r="S189" s="1">
        <v>1</v>
      </c>
      <c r="W189" s="1">
        <f t="shared" si="38"/>
        <v>101</v>
      </c>
      <c r="X189" s="1">
        <f t="shared" si="39"/>
        <v>101</v>
      </c>
      <c r="Y189" s="1">
        <f t="shared" si="40"/>
        <v>-7</v>
      </c>
      <c r="Z189" s="1">
        <f t="shared" si="44"/>
        <v>81</v>
      </c>
      <c r="AA189" s="1">
        <f t="shared" si="41"/>
        <v>3</v>
      </c>
      <c r="AB189" s="1">
        <f t="shared" si="45"/>
        <v>61</v>
      </c>
      <c r="AC189" s="1">
        <f t="shared" si="46"/>
        <v>17</v>
      </c>
      <c r="AD189" s="1">
        <f t="shared" si="42"/>
        <v>80</v>
      </c>
      <c r="AE189" s="1">
        <f t="shared" si="47"/>
        <v>69</v>
      </c>
      <c r="AF189" s="1" t="str">
        <f t="shared" si="48"/>
        <v>X</v>
      </c>
      <c r="AG189" s="1">
        <f t="shared" si="49"/>
        <v>35</v>
      </c>
      <c r="AH189" s="1">
        <f t="shared" si="50"/>
        <v>60</v>
      </c>
      <c r="AI189" s="1">
        <f t="shared" si="51"/>
        <v>50</v>
      </c>
      <c r="AJ189" s="1">
        <f t="shared" si="52"/>
        <v>9</v>
      </c>
      <c r="AK189" s="1">
        <f t="shared" si="55"/>
        <v>11</v>
      </c>
      <c r="AL189" s="1">
        <f t="shared" si="53"/>
        <v>1</v>
      </c>
      <c r="AM189" s="1">
        <f t="shared" si="43"/>
        <v>20</v>
      </c>
      <c r="AN189" s="1">
        <f t="shared" si="54"/>
        <v>0</v>
      </c>
    </row>
    <row r="190" spans="1:40" hidden="1" x14ac:dyDescent="0.3">
      <c r="A190" s="1">
        <v>25251</v>
      </c>
      <c r="B190" s="1" t="s">
        <v>91</v>
      </c>
      <c r="C190" s="3" t="s">
        <v>298</v>
      </c>
      <c r="D190" s="4">
        <v>3120</v>
      </c>
      <c r="E190" s="2" t="s">
        <v>134</v>
      </c>
      <c r="F190" s="2">
        <v>46009</v>
      </c>
      <c r="G190" s="2">
        <v>46014</v>
      </c>
      <c r="H190" s="2">
        <v>46071</v>
      </c>
      <c r="I190" s="2">
        <v>46085</v>
      </c>
      <c r="J190" s="2">
        <v>46079</v>
      </c>
      <c r="K190" s="2" t="s">
        <v>334</v>
      </c>
      <c r="L190" s="2">
        <v>46099</v>
      </c>
      <c r="M190" s="2">
        <v>46058</v>
      </c>
      <c r="N190" s="2">
        <v>46108</v>
      </c>
      <c r="O190" s="2">
        <v>46107</v>
      </c>
      <c r="P190" s="2">
        <v>46136</v>
      </c>
      <c r="Q190" s="2">
        <v>46129</v>
      </c>
      <c r="R190" s="2">
        <v>46136</v>
      </c>
      <c r="S190" s="1">
        <v>2</v>
      </c>
      <c r="W190" s="1">
        <f t="shared" si="38"/>
        <v>91</v>
      </c>
      <c r="X190" s="1">
        <f t="shared" si="39"/>
        <v>86</v>
      </c>
      <c r="Y190" s="1">
        <f t="shared" si="40"/>
        <v>-7</v>
      </c>
      <c r="Z190" s="1">
        <f t="shared" si="44"/>
        <v>71</v>
      </c>
      <c r="AA190" s="1">
        <f t="shared" si="41"/>
        <v>3</v>
      </c>
      <c r="AB190" s="1">
        <f t="shared" si="45"/>
        <v>41</v>
      </c>
      <c r="AC190" s="1">
        <f t="shared" si="46"/>
        <v>27</v>
      </c>
      <c r="AD190" s="1">
        <f t="shared" si="42"/>
        <v>70</v>
      </c>
      <c r="AE190" s="1">
        <f t="shared" si="47"/>
        <v>64</v>
      </c>
      <c r="AF190" s="1" t="str">
        <f t="shared" si="48"/>
        <v>X</v>
      </c>
      <c r="AG190" s="1">
        <f t="shared" si="49"/>
        <v>35</v>
      </c>
      <c r="AH190" s="1">
        <f t="shared" si="50"/>
        <v>54</v>
      </c>
      <c r="AI190" s="1">
        <f t="shared" si="51"/>
        <v>50</v>
      </c>
      <c r="AJ190" s="1">
        <f t="shared" si="52"/>
        <v>10</v>
      </c>
      <c r="AK190" s="1">
        <f t="shared" si="55"/>
        <v>6</v>
      </c>
      <c r="AL190" s="1">
        <f t="shared" si="53"/>
        <v>1</v>
      </c>
      <c r="AM190" s="1">
        <f t="shared" si="43"/>
        <v>15</v>
      </c>
      <c r="AN190" s="1">
        <f t="shared" si="54"/>
        <v>5</v>
      </c>
    </row>
    <row r="191" spans="1:40" hidden="1" x14ac:dyDescent="0.3">
      <c r="A191" s="1">
        <v>25252</v>
      </c>
      <c r="B191" s="1" t="s">
        <v>91</v>
      </c>
      <c r="C191" s="3" t="s">
        <v>299</v>
      </c>
      <c r="D191" s="4">
        <v>5390</v>
      </c>
      <c r="E191" s="2" t="s">
        <v>136</v>
      </c>
      <c r="F191" s="2">
        <v>46009</v>
      </c>
      <c r="G191" s="2">
        <v>46014</v>
      </c>
      <c r="H191" s="2">
        <v>46083</v>
      </c>
      <c r="I191" s="2">
        <v>46132</v>
      </c>
      <c r="J191" s="2">
        <v>46085</v>
      </c>
      <c r="K191" s="2">
        <v>46104</v>
      </c>
      <c r="L191" s="2">
        <v>46128</v>
      </c>
      <c r="M191" s="2">
        <v>46058</v>
      </c>
      <c r="N191" s="2">
        <v>46120</v>
      </c>
      <c r="O191" s="2">
        <v>46121</v>
      </c>
      <c r="P191" s="2">
        <v>46164</v>
      </c>
      <c r="Q191" s="2">
        <v>46150</v>
      </c>
      <c r="R191" s="2">
        <v>46157</v>
      </c>
      <c r="S191" s="1">
        <v>2</v>
      </c>
      <c r="W191" s="1">
        <f t="shared" ref="W191:W254" si="56">IF($R191="","NON LIVRE",NETWORKDAYS($F191,$R191)-1)</f>
        <v>106</v>
      </c>
      <c r="X191" s="1">
        <f t="shared" ref="X191:X254" si="57">IF($Q191="","NON LIVRE",NETWORKDAYS($F191,$Q191)-1)</f>
        <v>101</v>
      </c>
      <c r="Y191" s="1">
        <f t="shared" ref="Y191:Y254" si="58">IF($Q191="","NON LIVRE",NETWORKDAYS($P191,$Q191)-1)</f>
        <v>-12</v>
      </c>
      <c r="Z191" s="1">
        <f t="shared" si="44"/>
        <v>79</v>
      </c>
      <c r="AA191" s="1">
        <f t="shared" ref="AA191:AA254" si="59">IFERROR(IF($R191="","NON LIVRE",IF($G191="","PAS DE COMMANDE MATIERE",NETWORKDAYS($F191,$G191)-1)),$G191)</f>
        <v>3</v>
      </c>
      <c r="AB191" s="1">
        <f t="shared" si="45"/>
        <v>49</v>
      </c>
      <c r="AC191" s="1">
        <f t="shared" si="46"/>
        <v>27</v>
      </c>
      <c r="AD191" s="1">
        <f t="shared" ref="AD191:AD254" si="60">IFERROR(IF($R191="","NON LIVRE",IF($O191="","PAS DE DEPART TIRAGES OU ACHATS",NETWORKDAYS($F191,$O191)-1)),$O191)</f>
        <v>80</v>
      </c>
      <c r="AE191" s="1">
        <f t="shared" si="47"/>
        <v>85</v>
      </c>
      <c r="AF191" s="1">
        <f t="shared" si="48"/>
        <v>67</v>
      </c>
      <c r="AG191" s="1">
        <f t="shared" si="49"/>
        <v>35</v>
      </c>
      <c r="AH191" s="1">
        <f t="shared" si="50"/>
        <v>87</v>
      </c>
      <c r="AI191" s="1">
        <f t="shared" si="51"/>
        <v>54</v>
      </c>
      <c r="AJ191" s="1">
        <f t="shared" si="52"/>
        <v>-4</v>
      </c>
      <c r="AK191" s="1">
        <f t="shared" si="55"/>
        <v>-7</v>
      </c>
      <c r="AL191" s="1">
        <f t="shared" si="53"/>
        <v>1</v>
      </c>
      <c r="AM191" s="1">
        <f t="shared" si="43"/>
        <v>21</v>
      </c>
      <c r="AN191" s="1">
        <f t="shared" si="54"/>
        <v>5</v>
      </c>
    </row>
    <row r="192" spans="1:40" hidden="1" x14ac:dyDescent="0.3">
      <c r="A192" s="1">
        <v>25253</v>
      </c>
      <c r="B192" s="1" t="s">
        <v>60</v>
      </c>
      <c r="C192" s="3" t="s">
        <v>336</v>
      </c>
      <c r="F192" s="2">
        <v>46014</v>
      </c>
      <c r="G192" s="2">
        <v>46042</v>
      </c>
      <c r="H192" s="2">
        <v>46042</v>
      </c>
      <c r="I192" s="2">
        <v>46030</v>
      </c>
      <c r="L192" s="2">
        <v>46066</v>
      </c>
      <c r="M192" s="2">
        <v>46058</v>
      </c>
      <c r="N192" s="2">
        <v>46051</v>
      </c>
      <c r="O192" s="2">
        <v>46066</v>
      </c>
      <c r="P192" s="2">
        <v>46094</v>
      </c>
      <c r="Q192" s="2">
        <v>46101</v>
      </c>
      <c r="R192" s="2">
        <v>46101</v>
      </c>
      <c r="S192" s="1">
        <v>1</v>
      </c>
      <c r="W192" s="1">
        <f t="shared" si="56"/>
        <v>63</v>
      </c>
      <c r="X192" s="1">
        <f t="shared" si="57"/>
        <v>63</v>
      </c>
      <c r="Y192" s="1">
        <f t="shared" si="58"/>
        <v>5</v>
      </c>
      <c r="Z192" s="1">
        <f t="shared" si="44"/>
        <v>27</v>
      </c>
      <c r="AA192" s="1">
        <f t="shared" si="59"/>
        <v>20</v>
      </c>
      <c r="AB192" s="1">
        <f t="shared" si="45"/>
        <v>0</v>
      </c>
      <c r="AC192" s="1">
        <f t="shared" si="46"/>
        <v>7</v>
      </c>
      <c r="AD192" s="1">
        <f t="shared" si="60"/>
        <v>38</v>
      </c>
      <c r="AE192" s="1">
        <f t="shared" si="47"/>
        <v>38</v>
      </c>
      <c r="AF192" s="1" t="str">
        <f t="shared" si="48"/>
        <v>PAS DE DATE PAPIER</v>
      </c>
      <c r="AG192" s="1">
        <f t="shared" si="49"/>
        <v>32</v>
      </c>
      <c r="AH192" s="1">
        <f t="shared" si="50"/>
        <v>12</v>
      </c>
      <c r="AI192" s="1" t="str">
        <f t="shared" si="51"/>
        <v>PAS DE DATE VALIDATION MODELE CLIENT</v>
      </c>
      <c r="AJ192" s="1">
        <f t="shared" si="52"/>
        <v>26</v>
      </c>
      <c r="AK192" s="1">
        <f t="shared" si="55"/>
        <v>0</v>
      </c>
      <c r="AL192" s="1">
        <f t="shared" si="53"/>
        <v>11</v>
      </c>
      <c r="AM192" s="1">
        <f t="shared" si="43"/>
        <v>25</v>
      </c>
      <c r="AN192" s="1">
        <f t="shared" si="54"/>
        <v>0</v>
      </c>
    </row>
    <row r="193" spans="1:40" s="7" customFormat="1" hidden="1" x14ac:dyDescent="0.3">
      <c r="A193" s="7">
        <v>26001</v>
      </c>
      <c r="B193" s="7" t="s">
        <v>337</v>
      </c>
      <c r="C193" s="8" t="s">
        <v>338</v>
      </c>
      <c r="D193" s="9"/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T193" s="8"/>
      <c r="W193" s="1" t="str">
        <f t="shared" si="56"/>
        <v>NON LIVRE</v>
      </c>
      <c r="X193" s="1" t="str">
        <f t="shared" si="57"/>
        <v>NON LIVRE</v>
      </c>
      <c r="Y193" s="1" t="str">
        <f t="shared" si="58"/>
        <v>NON LIVRE</v>
      </c>
      <c r="Z193" s="1" t="str">
        <f t="shared" si="44"/>
        <v>NON LIVRE</v>
      </c>
      <c r="AA193" s="1" t="str">
        <f t="shared" si="59"/>
        <v>NON LIVRE</v>
      </c>
      <c r="AB193" s="1" t="str">
        <f t="shared" si="45"/>
        <v>NON LIVRE</v>
      </c>
      <c r="AC193" s="1" t="str">
        <f t="shared" si="46"/>
        <v>NON LIVRE</v>
      </c>
      <c r="AD193" s="1" t="str">
        <f t="shared" si="60"/>
        <v>NON LIVRE</v>
      </c>
      <c r="AE193" s="1" t="str">
        <f t="shared" si="47"/>
        <v>NON LIVRE</v>
      </c>
      <c r="AF193" s="1" t="str">
        <f t="shared" si="48"/>
        <v>NON LIVRE</v>
      </c>
      <c r="AG193" s="1" t="str">
        <f t="shared" si="49"/>
        <v>NON LIVRE</v>
      </c>
      <c r="AH193" s="1" t="str">
        <f t="shared" si="50"/>
        <v>NON LIVRE</v>
      </c>
      <c r="AI193" s="1" t="str">
        <f t="shared" si="51"/>
        <v>NON LIVRE</v>
      </c>
      <c r="AJ193" s="1" t="str">
        <f t="shared" si="52"/>
        <v>NON LIVRE</v>
      </c>
      <c r="AK193" s="1" t="str">
        <f t="shared" si="55"/>
        <v>NON LIVRE</v>
      </c>
      <c r="AL193" s="1" t="str">
        <f t="shared" si="53"/>
        <v>NON LIVRE</v>
      </c>
      <c r="AM193" s="1" t="str">
        <f t="shared" si="43"/>
        <v>NON LIVRE</v>
      </c>
      <c r="AN193" s="1" t="str">
        <f t="shared" si="54"/>
        <v>NON LIVRE</v>
      </c>
    </row>
    <row r="194" spans="1:40" s="7" customFormat="1" hidden="1" x14ac:dyDescent="0.3">
      <c r="A194" s="7">
        <v>26002</v>
      </c>
      <c r="B194" s="7" t="s">
        <v>317</v>
      </c>
      <c r="C194" s="8" t="s">
        <v>338</v>
      </c>
      <c r="D194" s="9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T194" s="8"/>
      <c r="W194" s="1" t="str">
        <f t="shared" si="56"/>
        <v>NON LIVRE</v>
      </c>
      <c r="X194" s="1" t="str">
        <f t="shared" si="57"/>
        <v>NON LIVRE</v>
      </c>
      <c r="Y194" s="1" t="str">
        <f t="shared" si="58"/>
        <v>NON LIVRE</v>
      </c>
      <c r="Z194" s="1" t="str">
        <f t="shared" si="44"/>
        <v>NON LIVRE</v>
      </c>
      <c r="AA194" s="1" t="str">
        <f t="shared" si="59"/>
        <v>NON LIVRE</v>
      </c>
      <c r="AB194" s="1" t="str">
        <f t="shared" si="45"/>
        <v>NON LIVRE</v>
      </c>
      <c r="AC194" s="1" t="str">
        <f t="shared" si="46"/>
        <v>NON LIVRE</v>
      </c>
      <c r="AD194" s="1" t="str">
        <f t="shared" si="60"/>
        <v>NON LIVRE</v>
      </c>
      <c r="AE194" s="1" t="str">
        <f t="shared" si="47"/>
        <v>NON LIVRE</v>
      </c>
      <c r="AF194" s="1" t="str">
        <f t="shared" si="48"/>
        <v>NON LIVRE</v>
      </c>
      <c r="AG194" s="1" t="str">
        <f t="shared" si="49"/>
        <v>NON LIVRE</v>
      </c>
      <c r="AH194" s="1" t="str">
        <f t="shared" si="50"/>
        <v>NON LIVRE</v>
      </c>
      <c r="AI194" s="1" t="str">
        <f t="shared" si="51"/>
        <v>NON LIVRE</v>
      </c>
      <c r="AJ194" s="1" t="str">
        <f t="shared" si="52"/>
        <v>NON LIVRE</v>
      </c>
      <c r="AK194" s="1" t="str">
        <f t="shared" si="55"/>
        <v>NON LIVRE</v>
      </c>
      <c r="AL194" s="1" t="str">
        <f t="shared" si="53"/>
        <v>NON LIVRE</v>
      </c>
      <c r="AM194" s="1" t="str">
        <f t="shared" ref="AM194:AM254" si="61">IFERROR(IF($R194="","NON LIVRE",IF(MAX($N194,$O194)=0,"PAS D'EXPEDITION DE MATIERE, D'IMPRESSION, OU D'ACHAT",NETWORKDAYS(MAX($N194,$O194),$Q194)-1)),"PAS D'EXPEDITION DE MATIERE, D'IMPRESSION, OU D'ACHAT")</f>
        <v>NON LIVRE</v>
      </c>
      <c r="AN194" s="1" t="str">
        <f t="shared" si="54"/>
        <v>NON LIVRE</v>
      </c>
    </row>
    <row r="195" spans="1:40" hidden="1" x14ac:dyDescent="0.3">
      <c r="A195" s="1">
        <v>26003</v>
      </c>
      <c r="B195" s="1" t="s">
        <v>73</v>
      </c>
      <c r="C195" s="3" t="s">
        <v>367</v>
      </c>
      <c r="F195" s="2">
        <v>46037</v>
      </c>
      <c r="G195" s="2" t="s">
        <v>199</v>
      </c>
      <c r="H195" s="2">
        <v>46051</v>
      </c>
      <c r="I195" s="2">
        <v>46038</v>
      </c>
      <c r="J195" s="2" t="s">
        <v>315</v>
      </c>
      <c r="L195" s="2">
        <v>46052</v>
      </c>
      <c r="N195" s="2">
        <v>46051</v>
      </c>
      <c r="O195" s="2">
        <v>46062</v>
      </c>
      <c r="P195" s="2">
        <v>46079</v>
      </c>
      <c r="Q195" s="2">
        <v>46080</v>
      </c>
      <c r="R195" s="2">
        <v>46080</v>
      </c>
      <c r="S195" s="1">
        <v>1</v>
      </c>
      <c r="W195" s="1">
        <f t="shared" si="56"/>
        <v>31</v>
      </c>
      <c r="X195" s="1">
        <f t="shared" si="57"/>
        <v>31</v>
      </c>
      <c r="Y195" s="1">
        <f t="shared" si="58"/>
        <v>1</v>
      </c>
      <c r="Z195" s="1">
        <f t="shared" ref="Z195:Z254" si="62">IFERROR(IF($R195="","NON LIVRE",IF($N195="","PAS DE DEPART MATIERE",NETWORKDAYS($F195,$N195)-1)),$N195)</f>
        <v>10</v>
      </c>
      <c r="AA195" s="1" t="str">
        <f t="shared" si="59"/>
        <v>STOCK</v>
      </c>
      <c r="AB195" s="1">
        <f t="shared" ref="AB195:AB254" si="63">IFERROR(IF($R195="","NON LIVRE",IF($H195="","PAS DE COMMANDE MATIERE",NETWORKDAYS($G195,$H195)-1)),$H195)</f>
        <v>46051</v>
      </c>
      <c r="AC195" s="1">
        <f t="shared" ref="AC195:AC254" si="64">IFERROR(IF($R195="","NON LIVRE",IF($N195="","PAS DE COMMANDE MATIERE",NETWORKDAYS($H195,$N195)-1)),$N195)</f>
        <v>0</v>
      </c>
      <c r="AD195" s="1">
        <f t="shared" si="60"/>
        <v>17</v>
      </c>
      <c r="AE195" s="1">
        <f t="shared" ref="AE195:AE254" si="65">IFERROR(IF($R195="","NON LIVRE",IF($L195="","PAS DE DATE IMPRESSION",NETWORKDAYS($F195,$L195)-1)),$L195)</f>
        <v>11</v>
      </c>
      <c r="AF195" s="1" t="str">
        <f t="shared" ref="AF195:AF254" si="66">IFERROR(IF($R195="","NON LIVRE",IF($K195="","PAS DE DATE PAPIER",NETWORKDAYS($F195,$K195)-1)),$K195)</f>
        <v>PAS DE DATE PAPIER</v>
      </c>
      <c r="AG195" s="1" t="str">
        <f t="shared" ref="AG195:AG254" si="67">IFERROR(IF($R195="","NON LIVRE",IF($M195="","PAS DE DATE CARTON",NETWORKDAYS($F195,$M195)-1)),$M195)</f>
        <v>PAS DE DATE CARTON</v>
      </c>
      <c r="AH195" s="1">
        <f t="shared" ref="AH195:AH254" si="68">IFERROR(IF($R195="","NON LIVRE",IF($I195="","PAS DE DATE FICHIER",NETWORKDAYS($F195,$I195)-1)),$I195)</f>
        <v>1</v>
      </c>
      <c r="AI195" s="1" t="str">
        <f t="shared" ref="AI195:AI254" si="69">IFERROR(IF($R195="","NON LIVRE",IF($J195="","PAS DE DATE VALIDATION MODELE CLIENT",NETWORKDAYS($F195,$J195)-1)),$J195)</f>
        <v>ANC FAB</v>
      </c>
      <c r="AJ195" s="1">
        <f t="shared" ref="AJ195:AJ254" si="70">IFERROR(IF($R195="","NON LIVRE",IF($L195="","PAS DE DATE IMPRESSION",NETWORKDAYS(MAX($I195,$J195),$L195)-1)),$L195)</f>
        <v>10</v>
      </c>
      <c r="AK195" s="1">
        <f t="shared" si="55"/>
        <v>6</v>
      </c>
      <c r="AL195" s="1">
        <f t="shared" ref="AL195:AL254" si="71">IFERROR(IF($R195="","NON LIVRE",IF(MAX($N195,$O195)=0,"PAS D'EXPEDITION DE MATIERE, D'IMPRESSION, OU D'ACHAT",NETWORKDAYS(MIN($N195,$O195),MAX($N195,$O195))-1)),"PAS D'EXPEDITION DE MATIERE, D'IMPRESSION, OU D'ACHAT")</f>
        <v>7</v>
      </c>
      <c r="AM195" s="1">
        <f t="shared" si="61"/>
        <v>14</v>
      </c>
      <c r="AN195" s="1">
        <f t="shared" ref="AN195:AN254" si="72">IFERROR(IF($R195="","NON LIVRE",IF($N195="","PAS D'IMPRESSION",IF($O195="","PAS DE DATE VALIDATION MODELE CLIENT",NETWORKDAYS($Q195,R195)-1))),$O195)</f>
        <v>0</v>
      </c>
    </row>
    <row r="196" spans="1:40" hidden="1" x14ac:dyDescent="0.3">
      <c r="A196" s="1">
        <v>26004</v>
      </c>
      <c r="W196" s="1" t="str">
        <f t="shared" si="56"/>
        <v>NON LIVRE</v>
      </c>
      <c r="X196" s="1" t="str">
        <f t="shared" si="57"/>
        <v>NON LIVRE</v>
      </c>
      <c r="Y196" s="1" t="str">
        <f t="shared" si="58"/>
        <v>NON LIVRE</v>
      </c>
      <c r="Z196" s="1" t="str">
        <f t="shared" si="62"/>
        <v>NON LIVRE</v>
      </c>
      <c r="AA196" s="1" t="str">
        <f t="shared" si="59"/>
        <v>NON LIVRE</v>
      </c>
      <c r="AB196" s="1" t="str">
        <f t="shared" si="63"/>
        <v>NON LIVRE</v>
      </c>
      <c r="AC196" s="1" t="str">
        <f t="shared" si="64"/>
        <v>NON LIVRE</v>
      </c>
      <c r="AD196" s="1" t="str">
        <f t="shared" si="60"/>
        <v>NON LIVRE</v>
      </c>
      <c r="AE196" s="1" t="str">
        <f t="shared" si="65"/>
        <v>NON LIVRE</v>
      </c>
      <c r="AF196" s="1" t="str">
        <f t="shared" si="66"/>
        <v>NON LIVRE</v>
      </c>
      <c r="AG196" s="1" t="str">
        <f t="shared" si="67"/>
        <v>NON LIVRE</v>
      </c>
      <c r="AH196" s="1" t="str">
        <f t="shared" si="68"/>
        <v>NON LIVRE</v>
      </c>
      <c r="AI196" s="1" t="str">
        <f t="shared" si="69"/>
        <v>NON LIVRE</v>
      </c>
      <c r="AJ196" s="1" t="str">
        <f t="shared" si="70"/>
        <v>NON LIVRE</v>
      </c>
      <c r="AK196" s="1" t="str">
        <f t="shared" si="55"/>
        <v>NON LIVRE</v>
      </c>
      <c r="AL196" s="1" t="str">
        <f t="shared" si="71"/>
        <v>NON LIVRE</v>
      </c>
      <c r="AM196" s="1" t="str">
        <f t="shared" si="61"/>
        <v>NON LIVRE</v>
      </c>
      <c r="AN196" s="1" t="str">
        <f t="shared" si="72"/>
        <v>NON LIVRE</v>
      </c>
    </row>
    <row r="197" spans="1:40" hidden="1" x14ac:dyDescent="0.3">
      <c r="A197" s="1">
        <v>26005</v>
      </c>
      <c r="B197" s="1" t="s">
        <v>73</v>
      </c>
      <c r="C197" s="3" t="s">
        <v>362</v>
      </c>
      <c r="D197" s="4">
        <v>600</v>
      </c>
      <c r="F197" s="2">
        <v>46041</v>
      </c>
      <c r="H197" s="2">
        <v>46051</v>
      </c>
      <c r="I197" s="2">
        <v>46043</v>
      </c>
      <c r="J197" s="2">
        <v>46025</v>
      </c>
      <c r="L197" s="2">
        <v>46059</v>
      </c>
      <c r="M197" s="2" t="s">
        <v>199</v>
      </c>
      <c r="N197" s="2">
        <v>46051</v>
      </c>
      <c r="O197" s="2">
        <v>46079</v>
      </c>
      <c r="P197" s="2">
        <v>46080</v>
      </c>
      <c r="Q197" s="2">
        <v>46080</v>
      </c>
      <c r="R197" s="2">
        <v>46080</v>
      </c>
      <c r="S197" s="1">
        <v>1</v>
      </c>
      <c r="W197" s="1">
        <f t="shared" si="56"/>
        <v>29</v>
      </c>
      <c r="X197" s="1">
        <f t="shared" si="57"/>
        <v>29</v>
      </c>
      <c r="Y197" s="1">
        <f t="shared" si="58"/>
        <v>0</v>
      </c>
      <c r="Z197" s="1">
        <f t="shared" si="62"/>
        <v>8</v>
      </c>
      <c r="AA197" s="1" t="str">
        <f t="shared" si="59"/>
        <v>PAS DE COMMANDE MATIERE</v>
      </c>
      <c r="AB197" s="1">
        <f t="shared" si="63"/>
        <v>32893</v>
      </c>
      <c r="AC197" s="1">
        <f t="shared" si="64"/>
        <v>0</v>
      </c>
      <c r="AD197" s="1">
        <f t="shared" si="60"/>
        <v>28</v>
      </c>
      <c r="AE197" s="1">
        <f t="shared" si="65"/>
        <v>14</v>
      </c>
      <c r="AF197" s="1" t="str">
        <f t="shared" si="66"/>
        <v>PAS DE DATE PAPIER</v>
      </c>
      <c r="AG197" s="1" t="str">
        <f t="shared" si="67"/>
        <v>STOCK</v>
      </c>
      <c r="AH197" s="1">
        <f t="shared" si="68"/>
        <v>2</v>
      </c>
      <c r="AI197" s="1">
        <f t="shared" si="69"/>
        <v>-12</v>
      </c>
      <c r="AJ197" s="1">
        <f t="shared" si="70"/>
        <v>12</v>
      </c>
      <c r="AK197" s="1">
        <f t="shared" si="55"/>
        <v>14</v>
      </c>
      <c r="AL197" s="1">
        <f t="shared" si="71"/>
        <v>20</v>
      </c>
      <c r="AM197" s="1">
        <f t="shared" si="61"/>
        <v>1</v>
      </c>
      <c r="AN197" s="1">
        <f t="shared" si="72"/>
        <v>0</v>
      </c>
    </row>
    <row r="198" spans="1:40" hidden="1" x14ac:dyDescent="0.3">
      <c r="A198" s="1">
        <v>26006</v>
      </c>
      <c r="B198" s="1" t="s">
        <v>51</v>
      </c>
      <c r="C198" s="3" t="s">
        <v>340</v>
      </c>
      <c r="D198" s="4">
        <v>5300</v>
      </c>
      <c r="F198" s="2">
        <v>46035</v>
      </c>
      <c r="G198" s="2">
        <v>46044</v>
      </c>
      <c r="H198" s="2">
        <v>46066</v>
      </c>
      <c r="I198" s="2">
        <v>46132</v>
      </c>
      <c r="L198" s="2">
        <v>46149</v>
      </c>
      <c r="M198" s="2">
        <v>46058</v>
      </c>
      <c r="P198" s="2">
        <v>46087</v>
      </c>
      <c r="Q198" s="2">
        <v>46154</v>
      </c>
      <c r="R198" s="2">
        <v>46154</v>
      </c>
      <c r="S198" s="1">
        <v>3</v>
      </c>
      <c r="W198" s="1">
        <f t="shared" si="56"/>
        <v>85</v>
      </c>
      <c r="X198" s="1">
        <f t="shared" si="57"/>
        <v>85</v>
      </c>
      <c r="Y198" s="1">
        <f t="shared" si="58"/>
        <v>47</v>
      </c>
      <c r="Z198" s="1" t="str">
        <f t="shared" si="62"/>
        <v>PAS DE DEPART MATIERE</v>
      </c>
      <c r="AA198" s="1">
        <f t="shared" si="59"/>
        <v>7</v>
      </c>
      <c r="AB198" s="1">
        <f t="shared" si="63"/>
        <v>16</v>
      </c>
      <c r="AC198" s="1" t="str">
        <f t="shared" si="64"/>
        <v>PAS DE COMMANDE MATIERE</v>
      </c>
      <c r="AD198" s="1" t="str">
        <f t="shared" si="60"/>
        <v>PAS DE DEPART TIRAGES OU ACHATS</v>
      </c>
      <c r="AE198" s="1">
        <f t="shared" si="65"/>
        <v>82</v>
      </c>
      <c r="AF198" s="1" t="str">
        <f t="shared" si="66"/>
        <v>PAS DE DATE PAPIER</v>
      </c>
      <c r="AG198" s="1">
        <f t="shared" si="67"/>
        <v>17</v>
      </c>
      <c r="AH198" s="1">
        <f t="shared" si="68"/>
        <v>69</v>
      </c>
      <c r="AI198" s="1" t="str">
        <f t="shared" si="69"/>
        <v>PAS DE DATE VALIDATION MODELE CLIENT</v>
      </c>
      <c r="AJ198" s="1">
        <f t="shared" si="70"/>
        <v>13</v>
      </c>
      <c r="AK198" s="1" t="str">
        <f t="shared" si="55"/>
        <v>PAS DE DATE DEPART EN PROD TIRAGES ET ACHATS</v>
      </c>
      <c r="AL198" s="1" t="str">
        <f t="shared" si="71"/>
        <v>PAS D'EXPEDITION DE MATIERE, D'IMPRESSION, OU D'ACHAT</v>
      </c>
      <c r="AM198" s="1" t="str">
        <f t="shared" si="61"/>
        <v>PAS D'EXPEDITION DE MATIERE, D'IMPRESSION, OU D'ACHAT</v>
      </c>
      <c r="AN198" s="1" t="str">
        <f t="shared" si="72"/>
        <v>PAS D'IMPRESSION</v>
      </c>
    </row>
    <row r="199" spans="1:40" hidden="1" x14ac:dyDescent="0.3">
      <c r="A199" s="1">
        <v>26007</v>
      </c>
      <c r="W199" s="1" t="str">
        <f t="shared" si="56"/>
        <v>NON LIVRE</v>
      </c>
      <c r="X199" s="1" t="str">
        <f t="shared" si="57"/>
        <v>NON LIVRE</v>
      </c>
      <c r="Y199" s="1" t="str">
        <f t="shared" si="58"/>
        <v>NON LIVRE</v>
      </c>
      <c r="Z199" s="1" t="str">
        <f t="shared" si="62"/>
        <v>NON LIVRE</v>
      </c>
      <c r="AA199" s="1" t="str">
        <f t="shared" si="59"/>
        <v>NON LIVRE</v>
      </c>
      <c r="AB199" s="1" t="str">
        <f t="shared" si="63"/>
        <v>NON LIVRE</v>
      </c>
      <c r="AC199" s="1" t="str">
        <f t="shared" si="64"/>
        <v>NON LIVRE</v>
      </c>
      <c r="AD199" s="1" t="str">
        <f t="shared" si="60"/>
        <v>NON LIVRE</v>
      </c>
      <c r="AE199" s="1" t="str">
        <f t="shared" si="65"/>
        <v>NON LIVRE</v>
      </c>
      <c r="AF199" s="1" t="str">
        <f t="shared" si="66"/>
        <v>NON LIVRE</v>
      </c>
      <c r="AG199" s="1" t="str">
        <f t="shared" si="67"/>
        <v>NON LIVRE</v>
      </c>
      <c r="AH199" s="1" t="str">
        <f t="shared" si="68"/>
        <v>NON LIVRE</v>
      </c>
      <c r="AI199" s="1" t="str">
        <f t="shared" si="69"/>
        <v>NON LIVRE</v>
      </c>
      <c r="AJ199" s="1" t="str">
        <f t="shared" si="70"/>
        <v>NON LIVRE</v>
      </c>
      <c r="AK199" s="1" t="str">
        <f t="shared" si="55"/>
        <v>NON LIVRE</v>
      </c>
      <c r="AL199" s="1" t="str">
        <f t="shared" si="71"/>
        <v>NON LIVRE</v>
      </c>
      <c r="AM199" s="1" t="str">
        <f t="shared" si="61"/>
        <v>NON LIVRE</v>
      </c>
      <c r="AN199" s="1" t="str">
        <f t="shared" si="72"/>
        <v>NON LIVRE</v>
      </c>
    </row>
    <row r="200" spans="1:40" hidden="1" x14ac:dyDescent="0.3">
      <c r="A200" s="1">
        <v>26008</v>
      </c>
      <c r="B200" s="1" t="s">
        <v>351</v>
      </c>
      <c r="C200" s="3" t="s">
        <v>352</v>
      </c>
      <c r="D200" s="4">
        <v>500</v>
      </c>
      <c r="F200" s="2">
        <v>46042</v>
      </c>
      <c r="G200" s="2">
        <v>46049</v>
      </c>
      <c r="H200" s="2">
        <v>46069</v>
      </c>
      <c r="I200" s="2">
        <v>46069</v>
      </c>
      <c r="J200" s="2">
        <v>46085</v>
      </c>
      <c r="L200" s="2">
        <v>46076</v>
      </c>
      <c r="M200" s="2" t="s">
        <v>199</v>
      </c>
      <c r="N200" s="2">
        <v>46122</v>
      </c>
      <c r="O200" s="2">
        <v>46101</v>
      </c>
      <c r="P200" s="2">
        <v>46122</v>
      </c>
      <c r="Q200" s="2">
        <v>46122</v>
      </c>
      <c r="R200" s="2">
        <v>46129</v>
      </c>
      <c r="S200" s="1">
        <v>2</v>
      </c>
      <c r="W200" s="1">
        <f t="shared" si="56"/>
        <v>63</v>
      </c>
      <c r="X200" s="1">
        <f t="shared" si="57"/>
        <v>58</v>
      </c>
      <c r="Y200" s="1">
        <f t="shared" si="58"/>
        <v>0</v>
      </c>
      <c r="Z200" s="1">
        <f t="shared" si="62"/>
        <v>58</v>
      </c>
      <c r="AA200" s="1">
        <f t="shared" si="59"/>
        <v>5</v>
      </c>
      <c r="AB200" s="1">
        <f t="shared" si="63"/>
        <v>14</v>
      </c>
      <c r="AC200" s="1">
        <f t="shared" si="64"/>
        <v>39</v>
      </c>
      <c r="AD200" s="1">
        <f t="shared" si="60"/>
        <v>43</v>
      </c>
      <c r="AE200" s="1">
        <f t="shared" si="65"/>
        <v>24</v>
      </c>
      <c r="AF200" s="1" t="str">
        <f t="shared" si="66"/>
        <v>PAS DE DATE PAPIER</v>
      </c>
      <c r="AG200" s="1" t="str">
        <f t="shared" si="67"/>
        <v>STOCK</v>
      </c>
      <c r="AH200" s="1">
        <f t="shared" si="68"/>
        <v>19</v>
      </c>
      <c r="AI200" s="1">
        <f t="shared" si="69"/>
        <v>31</v>
      </c>
      <c r="AJ200" s="1">
        <f t="shared" si="70"/>
        <v>-9</v>
      </c>
      <c r="AK200" s="1">
        <f t="shared" si="55"/>
        <v>19</v>
      </c>
      <c r="AL200" s="1">
        <f t="shared" si="71"/>
        <v>15</v>
      </c>
      <c r="AM200" s="1">
        <f t="shared" si="61"/>
        <v>0</v>
      </c>
      <c r="AN200" s="1">
        <f t="shared" si="72"/>
        <v>5</v>
      </c>
    </row>
    <row r="201" spans="1:40" hidden="1" x14ac:dyDescent="0.3">
      <c r="A201" s="1">
        <v>26009</v>
      </c>
      <c r="B201" s="1" t="s">
        <v>34</v>
      </c>
      <c r="C201" s="3" t="s">
        <v>368</v>
      </c>
      <c r="D201" s="4">
        <v>300</v>
      </c>
      <c r="F201" s="2">
        <v>46042</v>
      </c>
      <c r="G201" s="2">
        <v>46045</v>
      </c>
      <c r="H201" s="2">
        <v>46055</v>
      </c>
      <c r="J201" s="2">
        <v>46049</v>
      </c>
      <c r="L201" s="2">
        <v>46049</v>
      </c>
      <c r="N201" s="2">
        <v>46059</v>
      </c>
      <c r="O201" s="2">
        <v>46062</v>
      </c>
      <c r="P201" s="2">
        <v>46080</v>
      </c>
      <c r="Q201" s="2">
        <v>46080</v>
      </c>
      <c r="R201" s="2">
        <v>46080</v>
      </c>
      <c r="S201" s="1">
        <v>1</v>
      </c>
      <c r="W201" s="1">
        <f t="shared" si="56"/>
        <v>28</v>
      </c>
      <c r="X201" s="1">
        <f t="shared" si="57"/>
        <v>28</v>
      </c>
      <c r="Y201" s="1">
        <f t="shared" si="58"/>
        <v>0</v>
      </c>
      <c r="Z201" s="1">
        <f t="shared" si="62"/>
        <v>13</v>
      </c>
      <c r="AA201" s="1">
        <f t="shared" si="59"/>
        <v>3</v>
      </c>
      <c r="AB201" s="1">
        <f t="shared" si="63"/>
        <v>6</v>
      </c>
      <c r="AC201" s="1">
        <f t="shared" si="64"/>
        <v>4</v>
      </c>
      <c r="AD201" s="1">
        <f t="shared" si="60"/>
        <v>14</v>
      </c>
      <c r="AE201" s="1">
        <f t="shared" si="65"/>
        <v>5</v>
      </c>
      <c r="AF201" s="1" t="str">
        <f t="shared" si="66"/>
        <v>PAS DE DATE PAPIER</v>
      </c>
      <c r="AG201" s="1" t="str">
        <f t="shared" si="67"/>
        <v>PAS DE DATE CARTON</v>
      </c>
      <c r="AH201" s="1" t="str">
        <f t="shared" si="68"/>
        <v>PAS DE DATE FICHIER</v>
      </c>
      <c r="AI201" s="1">
        <f t="shared" si="69"/>
        <v>5</v>
      </c>
      <c r="AJ201" s="1">
        <f t="shared" si="70"/>
        <v>0</v>
      </c>
      <c r="AK201" s="1">
        <f t="shared" si="55"/>
        <v>9</v>
      </c>
      <c r="AL201" s="1">
        <f t="shared" si="71"/>
        <v>1</v>
      </c>
      <c r="AM201" s="1">
        <f t="shared" si="61"/>
        <v>14</v>
      </c>
      <c r="AN201" s="1">
        <f t="shared" si="72"/>
        <v>0</v>
      </c>
    </row>
    <row r="202" spans="1:40" hidden="1" x14ac:dyDescent="0.3">
      <c r="A202" s="1">
        <v>26010</v>
      </c>
      <c r="W202" s="1" t="str">
        <f t="shared" si="56"/>
        <v>NON LIVRE</v>
      </c>
      <c r="X202" s="1" t="str">
        <f t="shared" si="57"/>
        <v>NON LIVRE</v>
      </c>
      <c r="Y202" s="1" t="str">
        <f t="shared" si="58"/>
        <v>NON LIVRE</v>
      </c>
      <c r="Z202" s="1" t="str">
        <f t="shared" si="62"/>
        <v>NON LIVRE</v>
      </c>
      <c r="AA202" s="1" t="str">
        <f t="shared" si="59"/>
        <v>NON LIVRE</v>
      </c>
      <c r="AB202" s="1" t="str">
        <f t="shared" si="63"/>
        <v>NON LIVRE</v>
      </c>
      <c r="AC202" s="1" t="str">
        <f t="shared" si="64"/>
        <v>NON LIVRE</v>
      </c>
      <c r="AD202" s="1" t="str">
        <f t="shared" si="60"/>
        <v>NON LIVRE</v>
      </c>
      <c r="AE202" s="1" t="str">
        <f t="shared" si="65"/>
        <v>NON LIVRE</v>
      </c>
      <c r="AF202" s="1" t="str">
        <f t="shared" si="66"/>
        <v>NON LIVRE</v>
      </c>
      <c r="AG202" s="1" t="str">
        <f t="shared" si="67"/>
        <v>NON LIVRE</v>
      </c>
      <c r="AH202" s="1" t="str">
        <f t="shared" si="68"/>
        <v>NON LIVRE</v>
      </c>
      <c r="AI202" s="1" t="str">
        <f t="shared" si="69"/>
        <v>NON LIVRE</v>
      </c>
      <c r="AJ202" s="1" t="str">
        <f t="shared" si="70"/>
        <v>NON LIVRE</v>
      </c>
      <c r="AK202" s="1" t="str">
        <f t="shared" si="55"/>
        <v>NON LIVRE</v>
      </c>
      <c r="AL202" s="1" t="str">
        <f t="shared" si="71"/>
        <v>NON LIVRE</v>
      </c>
      <c r="AM202" s="1" t="str">
        <f t="shared" si="61"/>
        <v>NON LIVRE</v>
      </c>
      <c r="AN202" s="1" t="str">
        <f t="shared" si="72"/>
        <v>NON LIVRE</v>
      </c>
    </row>
    <row r="203" spans="1:40" hidden="1" x14ac:dyDescent="0.3">
      <c r="A203" s="1">
        <v>26011</v>
      </c>
      <c r="W203" s="1" t="str">
        <f t="shared" si="56"/>
        <v>NON LIVRE</v>
      </c>
      <c r="X203" s="1" t="str">
        <f t="shared" si="57"/>
        <v>NON LIVRE</v>
      </c>
      <c r="Y203" s="1" t="str">
        <f t="shared" si="58"/>
        <v>NON LIVRE</v>
      </c>
      <c r="Z203" s="1" t="str">
        <f t="shared" si="62"/>
        <v>NON LIVRE</v>
      </c>
      <c r="AA203" s="1" t="str">
        <f t="shared" si="59"/>
        <v>NON LIVRE</v>
      </c>
      <c r="AB203" s="1" t="str">
        <f t="shared" si="63"/>
        <v>NON LIVRE</v>
      </c>
      <c r="AC203" s="1" t="str">
        <f t="shared" si="64"/>
        <v>NON LIVRE</v>
      </c>
      <c r="AD203" s="1" t="str">
        <f t="shared" si="60"/>
        <v>NON LIVRE</v>
      </c>
      <c r="AE203" s="1" t="str">
        <f t="shared" si="65"/>
        <v>NON LIVRE</v>
      </c>
      <c r="AF203" s="1" t="str">
        <f t="shared" si="66"/>
        <v>NON LIVRE</v>
      </c>
      <c r="AG203" s="1" t="str">
        <f t="shared" si="67"/>
        <v>NON LIVRE</v>
      </c>
      <c r="AH203" s="1" t="str">
        <f t="shared" si="68"/>
        <v>NON LIVRE</v>
      </c>
      <c r="AI203" s="1" t="str">
        <f t="shared" si="69"/>
        <v>NON LIVRE</v>
      </c>
      <c r="AJ203" s="1" t="str">
        <f t="shared" si="70"/>
        <v>NON LIVRE</v>
      </c>
      <c r="AK203" s="1" t="str">
        <f t="shared" si="55"/>
        <v>NON LIVRE</v>
      </c>
      <c r="AL203" s="1" t="str">
        <f t="shared" si="71"/>
        <v>NON LIVRE</v>
      </c>
      <c r="AM203" s="1" t="str">
        <f t="shared" si="61"/>
        <v>NON LIVRE</v>
      </c>
      <c r="AN203" s="1" t="str">
        <f t="shared" si="72"/>
        <v>NON LIVRE</v>
      </c>
    </row>
    <row r="204" spans="1:40" hidden="1" x14ac:dyDescent="0.3">
      <c r="A204" s="1">
        <v>26012</v>
      </c>
      <c r="W204" s="1" t="str">
        <f t="shared" si="56"/>
        <v>NON LIVRE</v>
      </c>
      <c r="X204" s="1" t="str">
        <f t="shared" si="57"/>
        <v>NON LIVRE</v>
      </c>
      <c r="Y204" s="1" t="str">
        <f t="shared" si="58"/>
        <v>NON LIVRE</v>
      </c>
      <c r="Z204" s="1" t="str">
        <f t="shared" si="62"/>
        <v>NON LIVRE</v>
      </c>
      <c r="AA204" s="1" t="str">
        <f t="shared" si="59"/>
        <v>NON LIVRE</v>
      </c>
      <c r="AB204" s="1" t="str">
        <f t="shared" si="63"/>
        <v>NON LIVRE</v>
      </c>
      <c r="AC204" s="1" t="str">
        <f t="shared" si="64"/>
        <v>NON LIVRE</v>
      </c>
      <c r="AD204" s="1" t="str">
        <f t="shared" si="60"/>
        <v>NON LIVRE</v>
      </c>
      <c r="AE204" s="1" t="str">
        <f t="shared" si="65"/>
        <v>NON LIVRE</v>
      </c>
      <c r="AF204" s="1" t="str">
        <f t="shared" si="66"/>
        <v>NON LIVRE</v>
      </c>
      <c r="AG204" s="1" t="str">
        <f t="shared" si="67"/>
        <v>NON LIVRE</v>
      </c>
      <c r="AH204" s="1" t="str">
        <f t="shared" si="68"/>
        <v>NON LIVRE</v>
      </c>
      <c r="AI204" s="1" t="str">
        <f t="shared" si="69"/>
        <v>NON LIVRE</v>
      </c>
      <c r="AJ204" s="1" t="str">
        <f t="shared" si="70"/>
        <v>NON LIVRE</v>
      </c>
      <c r="AK204" s="1" t="str">
        <f t="shared" si="55"/>
        <v>NON LIVRE</v>
      </c>
      <c r="AL204" s="1" t="str">
        <f t="shared" si="71"/>
        <v>NON LIVRE</v>
      </c>
      <c r="AM204" s="1" t="str">
        <f t="shared" si="61"/>
        <v>NON LIVRE</v>
      </c>
      <c r="AN204" s="1" t="str">
        <f t="shared" si="72"/>
        <v>NON LIVRE</v>
      </c>
    </row>
    <row r="205" spans="1:40" hidden="1" x14ac:dyDescent="0.3">
      <c r="A205" s="1">
        <v>26013</v>
      </c>
      <c r="W205" s="1" t="str">
        <f t="shared" si="56"/>
        <v>NON LIVRE</v>
      </c>
      <c r="X205" s="1" t="str">
        <f t="shared" si="57"/>
        <v>NON LIVRE</v>
      </c>
      <c r="Y205" s="1" t="str">
        <f t="shared" si="58"/>
        <v>NON LIVRE</v>
      </c>
      <c r="Z205" s="1" t="str">
        <f t="shared" si="62"/>
        <v>NON LIVRE</v>
      </c>
      <c r="AA205" s="1" t="str">
        <f t="shared" si="59"/>
        <v>NON LIVRE</v>
      </c>
      <c r="AB205" s="1" t="str">
        <f t="shared" si="63"/>
        <v>NON LIVRE</v>
      </c>
      <c r="AC205" s="1" t="str">
        <f t="shared" si="64"/>
        <v>NON LIVRE</v>
      </c>
      <c r="AD205" s="1" t="str">
        <f t="shared" si="60"/>
        <v>NON LIVRE</v>
      </c>
      <c r="AE205" s="1" t="str">
        <f t="shared" si="65"/>
        <v>NON LIVRE</v>
      </c>
      <c r="AF205" s="1" t="str">
        <f t="shared" si="66"/>
        <v>NON LIVRE</v>
      </c>
      <c r="AG205" s="1" t="str">
        <f t="shared" si="67"/>
        <v>NON LIVRE</v>
      </c>
      <c r="AH205" s="1" t="str">
        <f t="shared" si="68"/>
        <v>NON LIVRE</v>
      </c>
      <c r="AI205" s="1" t="str">
        <f t="shared" si="69"/>
        <v>NON LIVRE</v>
      </c>
      <c r="AJ205" s="1" t="str">
        <f t="shared" si="70"/>
        <v>NON LIVRE</v>
      </c>
      <c r="AK205" s="1" t="str">
        <f t="shared" si="55"/>
        <v>NON LIVRE</v>
      </c>
      <c r="AL205" s="1" t="str">
        <f t="shared" si="71"/>
        <v>NON LIVRE</v>
      </c>
      <c r="AM205" s="1" t="str">
        <f t="shared" si="61"/>
        <v>NON LIVRE</v>
      </c>
      <c r="AN205" s="1" t="str">
        <f t="shared" si="72"/>
        <v>NON LIVRE</v>
      </c>
    </row>
    <row r="206" spans="1:40" hidden="1" x14ac:dyDescent="0.3">
      <c r="A206" s="1">
        <v>26014</v>
      </c>
      <c r="W206" s="1" t="str">
        <f t="shared" si="56"/>
        <v>NON LIVRE</v>
      </c>
      <c r="X206" s="1" t="str">
        <f t="shared" si="57"/>
        <v>NON LIVRE</v>
      </c>
      <c r="Y206" s="1" t="str">
        <f t="shared" si="58"/>
        <v>NON LIVRE</v>
      </c>
      <c r="Z206" s="1" t="str">
        <f t="shared" si="62"/>
        <v>NON LIVRE</v>
      </c>
      <c r="AA206" s="1" t="str">
        <f t="shared" si="59"/>
        <v>NON LIVRE</v>
      </c>
      <c r="AB206" s="1" t="str">
        <f t="shared" si="63"/>
        <v>NON LIVRE</v>
      </c>
      <c r="AC206" s="1" t="str">
        <f t="shared" si="64"/>
        <v>NON LIVRE</v>
      </c>
      <c r="AD206" s="1" t="str">
        <f t="shared" si="60"/>
        <v>NON LIVRE</v>
      </c>
      <c r="AE206" s="1" t="str">
        <f t="shared" si="65"/>
        <v>NON LIVRE</v>
      </c>
      <c r="AF206" s="1" t="str">
        <f t="shared" si="66"/>
        <v>NON LIVRE</v>
      </c>
      <c r="AG206" s="1" t="str">
        <f t="shared" si="67"/>
        <v>NON LIVRE</v>
      </c>
      <c r="AH206" s="1" t="str">
        <f t="shared" si="68"/>
        <v>NON LIVRE</v>
      </c>
      <c r="AI206" s="1" t="str">
        <f t="shared" si="69"/>
        <v>NON LIVRE</v>
      </c>
      <c r="AJ206" s="1" t="str">
        <f t="shared" si="70"/>
        <v>NON LIVRE</v>
      </c>
      <c r="AK206" s="1" t="str">
        <f t="shared" si="55"/>
        <v>NON LIVRE</v>
      </c>
      <c r="AL206" s="1" t="str">
        <f t="shared" si="71"/>
        <v>NON LIVRE</v>
      </c>
      <c r="AM206" s="1" t="str">
        <f t="shared" si="61"/>
        <v>NON LIVRE</v>
      </c>
      <c r="AN206" s="1" t="str">
        <f t="shared" si="72"/>
        <v>NON LIVRE</v>
      </c>
    </row>
    <row r="207" spans="1:40" hidden="1" x14ac:dyDescent="0.3">
      <c r="A207" s="1">
        <v>26015</v>
      </c>
      <c r="B207" s="1" t="s">
        <v>358</v>
      </c>
      <c r="C207" s="3" t="s">
        <v>359</v>
      </c>
      <c r="D207" s="4">
        <v>1200</v>
      </c>
      <c r="F207" s="2">
        <v>46042</v>
      </c>
      <c r="H207" s="2">
        <v>46044</v>
      </c>
      <c r="I207" s="2">
        <v>46086</v>
      </c>
      <c r="J207" s="2">
        <v>46101</v>
      </c>
      <c r="L207" s="2">
        <v>46106</v>
      </c>
      <c r="N207" s="2">
        <v>46051</v>
      </c>
      <c r="O207" s="2">
        <v>46107</v>
      </c>
      <c r="P207" s="2">
        <v>46129</v>
      </c>
      <c r="Q207" s="2">
        <v>46129</v>
      </c>
      <c r="R207" s="2">
        <v>46129</v>
      </c>
      <c r="S207" s="1">
        <v>1</v>
      </c>
      <c r="W207" s="1">
        <f t="shared" si="56"/>
        <v>63</v>
      </c>
      <c r="X207" s="1">
        <f t="shared" si="57"/>
        <v>63</v>
      </c>
      <c r="Y207" s="1">
        <f t="shared" si="58"/>
        <v>0</v>
      </c>
      <c r="Z207" s="1">
        <f t="shared" si="62"/>
        <v>7</v>
      </c>
      <c r="AA207" s="1" t="str">
        <f t="shared" si="59"/>
        <v>PAS DE COMMANDE MATIERE</v>
      </c>
      <c r="AB207" s="1">
        <f t="shared" si="63"/>
        <v>32888</v>
      </c>
      <c r="AC207" s="1">
        <f t="shared" si="64"/>
        <v>5</v>
      </c>
      <c r="AD207" s="1">
        <f t="shared" si="60"/>
        <v>47</v>
      </c>
      <c r="AE207" s="1">
        <f t="shared" si="65"/>
        <v>46</v>
      </c>
      <c r="AF207" s="1" t="str">
        <f t="shared" si="66"/>
        <v>PAS DE DATE PAPIER</v>
      </c>
      <c r="AG207" s="1" t="str">
        <f t="shared" si="67"/>
        <v>PAS DE DATE CARTON</v>
      </c>
      <c r="AH207" s="1">
        <f t="shared" si="68"/>
        <v>32</v>
      </c>
      <c r="AI207" s="1">
        <f t="shared" si="69"/>
        <v>43</v>
      </c>
      <c r="AJ207" s="1">
        <f t="shared" si="70"/>
        <v>3</v>
      </c>
      <c r="AK207" s="1">
        <f t="shared" si="55"/>
        <v>1</v>
      </c>
      <c r="AL207" s="1">
        <f t="shared" si="71"/>
        <v>40</v>
      </c>
      <c r="AM207" s="1">
        <f t="shared" si="61"/>
        <v>16</v>
      </c>
      <c r="AN207" s="1">
        <f t="shared" si="72"/>
        <v>0</v>
      </c>
    </row>
    <row r="208" spans="1:40" hidden="1" x14ac:dyDescent="0.3">
      <c r="A208" s="1">
        <v>26016</v>
      </c>
      <c r="W208" s="1" t="str">
        <f t="shared" si="56"/>
        <v>NON LIVRE</v>
      </c>
      <c r="X208" s="1" t="str">
        <f t="shared" si="57"/>
        <v>NON LIVRE</v>
      </c>
      <c r="Y208" s="1" t="str">
        <f t="shared" si="58"/>
        <v>NON LIVRE</v>
      </c>
      <c r="Z208" s="1" t="str">
        <f t="shared" si="62"/>
        <v>NON LIVRE</v>
      </c>
      <c r="AA208" s="1" t="str">
        <f t="shared" si="59"/>
        <v>NON LIVRE</v>
      </c>
      <c r="AB208" s="1" t="str">
        <f t="shared" si="63"/>
        <v>NON LIVRE</v>
      </c>
      <c r="AC208" s="1" t="str">
        <f t="shared" si="64"/>
        <v>NON LIVRE</v>
      </c>
      <c r="AD208" s="1" t="str">
        <f t="shared" si="60"/>
        <v>NON LIVRE</v>
      </c>
      <c r="AE208" s="1" t="str">
        <f t="shared" si="65"/>
        <v>NON LIVRE</v>
      </c>
      <c r="AF208" s="1" t="str">
        <f t="shared" si="66"/>
        <v>NON LIVRE</v>
      </c>
      <c r="AG208" s="1" t="str">
        <f t="shared" si="67"/>
        <v>NON LIVRE</v>
      </c>
      <c r="AH208" s="1" t="str">
        <f t="shared" si="68"/>
        <v>NON LIVRE</v>
      </c>
      <c r="AI208" s="1" t="str">
        <f t="shared" si="69"/>
        <v>NON LIVRE</v>
      </c>
      <c r="AJ208" s="1" t="str">
        <f t="shared" si="70"/>
        <v>NON LIVRE</v>
      </c>
      <c r="AK208" s="1" t="str">
        <f t="shared" si="55"/>
        <v>NON LIVRE</v>
      </c>
      <c r="AL208" s="1" t="str">
        <f t="shared" si="71"/>
        <v>NON LIVRE</v>
      </c>
      <c r="AM208" s="1" t="str">
        <f t="shared" si="61"/>
        <v>NON LIVRE</v>
      </c>
      <c r="AN208" s="1" t="str">
        <f t="shared" si="72"/>
        <v>NON LIVRE</v>
      </c>
    </row>
    <row r="209" spans="1:40" hidden="1" x14ac:dyDescent="0.3">
      <c r="A209" s="1">
        <v>26017</v>
      </c>
      <c r="W209" s="1" t="str">
        <f t="shared" si="56"/>
        <v>NON LIVRE</v>
      </c>
      <c r="X209" s="1" t="str">
        <f t="shared" si="57"/>
        <v>NON LIVRE</v>
      </c>
      <c r="Y209" s="1" t="str">
        <f t="shared" si="58"/>
        <v>NON LIVRE</v>
      </c>
      <c r="Z209" s="1" t="str">
        <f t="shared" si="62"/>
        <v>NON LIVRE</v>
      </c>
      <c r="AA209" s="1" t="str">
        <f t="shared" si="59"/>
        <v>NON LIVRE</v>
      </c>
      <c r="AB209" s="1" t="str">
        <f t="shared" si="63"/>
        <v>NON LIVRE</v>
      </c>
      <c r="AC209" s="1" t="str">
        <f t="shared" si="64"/>
        <v>NON LIVRE</v>
      </c>
      <c r="AD209" s="1" t="str">
        <f t="shared" si="60"/>
        <v>NON LIVRE</v>
      </c>
      <c r="AE209" s="1" t="str">
        <f t="shared" si="65"/>
        <v>NON LIVRE</v>
      </c>
      <c r="AF209" s="1" t="str">
        <f t="shared" si="66"/>
        <v>NON LIVRE</v>
      </c>
      <c r="AG209" s="1" t="str">
        <f t="shared" si="67"/>
        <v>NON LIVRE</v>
      </c>
      <c r="AH209" s="1" t="str">
        <f t="shared" si="68"/>
        <v>NON LIVRE</v>
      </c>
      <c r="AI209" s="1" t="str">
        <f t="shared" si="69"/>
        <v>NON LIVRE</v>
      </c>
      <c r="AJ209" s="1" t="str">
        <f t="shared" si="70"/>
        <v>NON LIVRE</v>
      </c>
      <c r="AK209" s="1" t="str">
        <f t="shared" si="55"/>
        <v>NON LIVRE</v>
      </c>
      <c r="AL209" s="1" t="str">
        <f t="shared" si="71"/>
        <v>NON LIVRE</v>
      </c>
      <c r="AM209" s="1" t="str">
        <f t="shared" si="61"/>
        <v>NON LIVRE</v>
      </c>
      <c r="AN209" s="1" t="str">
        <f t="shared" si="72"/>
        <v>NON LIVRE</v>
      </c>
    </row>
    <row r="210" spans="1:40" hidden="1" x14ac:dyDescent="0.3">
      <c r="A210" s="1">
        <v>26018</v>
      </c>
      <c r="W210" s="1" t="str">
        <f t="shared" si="56"/>
        <v>NON LIVRE</v>
      </c>
      <c r="X210" s="1" t="str">
        <f t="shared" si="57"/>
        <v>NON LIVRE</v>
      </c>
      <c r="Y210" s="1" t="str">
        <f t="shared" si="58"/>
        <v>NON LIVRE</v>
      </c>
      <c r="Z210" s="1" t="str">
        <f t="shared" si="62"/>
        <v>NON LIVRE</v>
      </c>
      <c r="AA210" s="1" t="str">
        <f t="shared" si="59"/>
        <v>NON LIVRE</v>
      </c>
      <c r="AB210" s="1" t="str">
        <f t="shared" si="63"/>
        <v>NON LIVRE</v>
      </c>
      <c r="AC210" s="1" t="str">
        <f t="shared" si="64"/>
        <v>NON LIVRE</v>
      </c>
      <c r="AD210" s="1" t="str">
        <f t="shared" si="60"/>
        <v>NON LIVRE</v>
      </c>
      <c r="AE210" s="1" t="str">
        <f t="shared" si="65"/>
        <v>NON LIVRE</v>
      </c>
      <c r="AF210" s="1" t="str">
        <f t="shared" si="66"/>
        <v>NON LIVRE</v>
      </c>
      <c r="AG210" s="1" t="str">
        <f t="shared" si="67"/>
        <v>NON LIVRE</v>
      </c>
      <c r="AH210" s="1" t="str">
        <f t="shared" si="68"/>
        <v>NON LIVRE</v>
      </c>
      <c r="AI210" s="1" t="str">
        <f t="shared" si="69"/>
        <v>NON LIVRE</v>
      </c>
      <c r="AJ210" s="1" t="str">
        <f t="shared" si="70"/>
        <v>NON LIVRE</v>
      </c>
      <c r="AK210" s="1" t="str">
        <f t="shared" si="55"/>
        <v>NON LIVRE</v>
      </c>
      <c r="AL210" s="1" t="str">
        <f t="shared" si="71"/>
        <v>NON LIVRE</v>
      </c>
      <c r="AM210" s="1" t="str">
        <f t="shared" si="61"/>
        <v>NON LIVRE</v>
      </c>
      <c r="AN210" s="1" t="str">
        <f t="shared" si="72"/>
        <v>NON LIVRE</v>
      </c>
    </row>
    <row r="211" spans="1:40" hidden="1" x14ac:dyDescent="0.3">
      <c r="A211" s="1">
        <v>26019</v>
      </c>
      <c r="B211" s="1" t="s">
        <v>264</v>
      </c>
      <c r="C211" s="3" t="s">
        <v>360</v>
      </c>
      <c r="D211" s="4">
        <v>3300</v>
      </c>
      <c r="F211" s="2">
        <v>46051</v>
      </c>
      <c r="H211" s="2">
        <v>46062</v>
      </c>
      <c r="L211" s="2">
        <v>46080</v>
      </c>
      <c r="N211" s="2">
        <v>46066</v>
      </c>
      <c r="O211" s="2">
        <v>46080</v>
      </c>
      <c r="P211" s="2">
        <v>46115</v>
      </c>
      <c r="Q211" s="2">
        <v>46115</v>
      </c>
      <c r="R211" s="2">
        <v>46115</v>
      </c>
      <c r="S211" s="1">
        <v>1</v>
      </c>
      <c r="W211" s="1">
        <f t="shared" si="56"/>
        <v>46</v>
      </c>
      <c r="X211" s="1">
        <f t="shared" si="57"/>
        <v>46</v>
      </c>
      <c r="Y211" s="1">
        <f t="shared" si="58"/>
        <v>0</v>
      </c>
      <c r="Z211" s="1">
        <f t="shared" si="62"/>
        <v>11</v>
      </c>
      <c r="AA211" s="1" t="str">
        <f t="shared" si="59"/>
        <v>PAS DE COMMANDE MATIERE</v>
      </c>
      <c r="AB211" s="1">
        <f t="shared" si="63"/>
        <v>32900</v>
      </c>
      <c r="AC211" s="1">
        <f t="shared" si="64"/>
        <v>4</v>
      </c>
      <c r="AD211" s="1">
        <f t="shared" si="60"/>
        <v>21</v>
      </c>
      <c r="AE211" s="1">
        <f t="shared" si="65"/>
        <v>21</v>
      </c>
      <c r="AF211" s="1" t="str">
        <f t="shared" si="66"/>
        <v>PAS DE DATE PAPIER</v>
      </c>
      <c r="AG211" s="1" t="str">
        <f t="shared" si="67"/>
        <v>PAS DE DATE CARTON</v>
      </c>
      <c r="AH211" s="1" t="str">
        <f t="shared" si="68"/>
        <v>PAS DE DATE FICHIER</v>
      </c>
      <c r="AI211" s="1" t="str">
        <f t="shared" si="69"/>
        <v>PAS DE DATE VALIDATION MODELE CLIENT</v>
      </c>
      <c r="AJ211" s="1">
        <f t="shared" si="70"/>
        <v>32914</v>
      </c>
      <c r="AK211" s="1">
        <f t="shared" si="55"/>
        <v>0</v>
      </c>
      <c r="AL211" s="1">
        <f t="shared" si="71"/>
        <v>10</v>
      </c>
      <c r="AM211" s="1">
        <f t="shared" si="61"/>
        <v>25</v>
      </c>
      <c r="AN211" s="1">
        <f t="shared" si="72"/>
        <v>0</v>
      </c>
    </row>
    <row r="212" spans="1:40" hidden="1" x14ac:dyDescent="0.3">
      <c r="A212" s="1">
        <v>26020</v>
      </c>
      <c r="W212" s="1" t="str">
        <f t="shared" si="56"/>
        <v>NON LIVRE</v>
      </c>
      <c r="X212" s="1" t="str">
        <f t="shared" si="57"/>
        <v>NON LIVRE</v>
      </c>
      <c r="Y212" s="1" t="str">
        <f t="shared" si="58"/>
        <v>NON LIVRE</v>
      </c>
      <c r="Z212" s="1" t="str">
        <f t="shared" si="62"/>
        <v>NON LIVRE</v>
      </c>
      <c r="AA212" s="1" t="str">
        <f t="shared" si="59"/>
        <v>NON LIVRE</v>
      </c>
      <c r="AB212" s="1" t="str">
        <f t="shared" si="63"/>
        <v>NON LIVRE</v>
      </c>
      <c r="AC212" s="1" t="str">
        <f t="shared" si="64"/>
        <v>NON LIVRE</v>
      </c>
      <c r="AD212" s="1" t="str">
        <f t="shared" si="60"/>
        <v>NON LIVRE</v>
      </c>
      <c r="AE212" s="1" t="str">
        <f t="shared" si="65"/>
        <v>NON LIVRE</v>
      </c>
      <c r="AF212" s="1" t="str">
        <f t="shared" si="66"/>
        <v>NON LIVRE</v>
      </c>
      <c r="AG212" s="1" t="str">
        <f t="shared" si="67"/>
        <v>NON LIVRE</v>
      </c>
      <c r="AH212" s="1" t="str">
        <f t="shared" si="68"/>
        <v>NON LIVRE</v>
      </c>
      <c r="AI212" s="1" t="str">
        <f t="shared" si="69"/>
        <v>NON LIVRE</v>
      </c>
      <c r="AJ212" s="1" t="str">
        <f t="shared" si="70"/>
        <v>NON LIVRE</v>
      </c>
      <c r="AK212" s="1" t="str">
        <f t="shared" si="55"/>
        <v>NON LIVRE</v>
      </c>
      <c r="AL212" s="1" t="str">
        <f t="shared" si="71"/>
        <v>NON LIVRE</v>
      </c>
      <c r="AM212" s="1" t="str">
        <f t="shared" si="61"/>
        <v>NON LIVRE</v>
      </c>
      <c r="AN212" s="1" t="str">
        <f t="shared" si="72"/>
        <v>NON LIVRE</v>
      </c>
    </row>
    <row r="213" spans="1:40" hidden="1" x14ac:dyDescent="0.3">
      <c r="A213" s="1">
        <v>26021</v>
      </c>
      <c r="W213" s="1" t="str">
        <f t="shared" si="56"/>
        <v>NON LIVRE</v>
      </c>
      <c r="X213" s="1" t="str">
        <f t="shared" si="57"/>
        <v>NON LIVRE</v>
      </c>
      <c r="Y213" s="1" t="str">
        <f t="shared" si="58"/>
        <v>NON LIVRE</v>
      </c>
      <c r="Z213" s="1" t="str">
        <f t="shared" si="62"/>
        <v>NON LIVRE</v>
      </c>
      <c r="AA213" s="1" t="str">
        <f t="shared" si="59"/>
        <v>NON LIVRE</v>
      </c>
      <c r="AB213" s="1" t="str">
        <f t="shared" si="63"/>
        <v>NON LIVRE</v>
      </c>
      <c r="AC213" s="1" t="str">
        <f t="shared" si="64"/>
        <v>NON LIVRE</v>
      </c>
      <c r="AD213" s="1" t="str">
        <f t="shared" si="60"/>
        <v>NON LIVRE</v>
      </c>
      <c r="AE213" s="1" t="str">
        <f t="shared" si="65"/>
        <v>NON LIVRE</v>
      </c>
      <c r="AF213" s="1" t="str">
        <f t="shared" si="66"/>
        <v>NON LIVRE</v>
      </c>
      <c r="AG213" s="1" t="str">
        <f t="shared" si="67"/>
        <v>NON LIVRE</v>
      </c>
      <c r="AH213" s="1" t="str">
        <f t="shared" si="68"/>
        <v>NON LIVRE</v>
      </c>
      <c r="AI213" s="1" t="str">
        <f t="shared" si="69"/>
        <v>NON LIVRE</v>
      </c>
      <c r="AJ213" s="1" t="str">
        <f t="shared" si="70"/>
        <v>NON LIVRE</v>
      </c>
      <c r="AK213" s="1" t="str">
        <f t="shared" si="55"/>
        <v>NON LIVRE</v>
      </c>
      <c r="AL213" s="1" t="str">
        <f t="shared" si="71"/>
        <v>NON LIVRE</v>
      </c>
      <c r="AM213" s="1" t="str">
        <f t="shared" si="61"/>
        <v>NON LIVRE</v>
      </c>
      <c r="AN213" s="1" t="str">
        <f t="shared" si="72"/>
        <v>NON LIVRE</v>
      </c>
    </row>
    <row r="214" spans="1:40" hidden="1" x14ac:dyDescent="0.3">
      <c r="A214" s="1">
        <v>26022</v>
      </c>
      <c r="B214" s="1" t="s">
        <v>60</v>
      </c>
      <c r="C214" s="3" t="s">
        <v>361</v>
      </c>
      <c r="D214" s="4">
        <v>1000</v>
      </c>
      <c r="F214" s="2">
        <v>46057</v>
      </c>
      <c r="G214" s="2">
        <v>46058</v>
      </c>
      <c r="H214" s="2">
        <v>46069</v>
      </c>
      <c r="I214" s="2">
        <v>46063</v>
      </c>
      <c r="K214" s="2">
        <v>46079</v>
      </c>
      <c r="L214" s="2">
        <v>46080</v>
      </c>
      <c r="M214" s="2" t="s">
        <v>199</v>
      </c>
      <c r="N214" s="2">
        <v>46080</v>
      </c>
      <c r="O214" s="2">
        <v>46100</v>
      </c>
      <c r="P214" s="2">
        <v>46129</v>
      </c>
      <c r="Q214" s="2">
        <v>46129</v>
      </c>
      <c r="R214" s="2">
        <v>46129</v>
      </c>
      <c r="S214" s="1">
        <v>1</v>
      </c>
      <c r="W214" s="1">
        <f t="shared" si="56"/>
        <v>52</v>
      </c>
      <c r="X214" s="1">
        <f t="shared" si="57"/>
        <v>52</v>
      </c>
      <c r="Y214" s="1">
        <f t="shared" si="58"/>
        <v>0</v>
      </c>
      <c r="Z214" s="1">
        <f t="shared" si="62"/>
        <v>17</v>
      </c>
      <c r="AA214" s="1">
        <f t="shared" si="59"/>
        <v>1</v>
      </c>
      <c r="AB214" s="1">
        <f t="shared" si="63"/>
        <v>7</v>
      </c>
      <c r="AC214" s="1">
        <f t="shared" si="64"/>
        <v>9</v>
      </c>
      <c r="AD214" s="1">
        <f t="shared" si="60"/>
        <v>31</v>
      </c>
      <c r="AE214" s="1">
        <f t="shared" si="65"/>
        <v>17</v>
      </c>
      <c r="AF214" s="1">
        <f t="shared" si="66"/>
        <v>16</v>
      </c>
      <c r="AG214" s="1" t="str">
        <f t="shared" si="67"/>
        <v>STOCK</v>
      </c>
      <c r="AH214" s="1">
        <f t="shared" si="68"/>
        <v>4</v>
      </c>
      <c r="AI214" s="1" t="str">
        <f t="shared" si="69"/>
        <v>PAS DE DATE VALIDATION MODELE CLIENT</v>
      </c>
      <c r="AJ214" s="1">
        <f t="shared" si="70"/>
        <v>13</v>
      </c>
      <c r="AK214" s="1">
        <f t="shared" si="55"/>
        <v>14</v>
      </c>
      <c r="AL214" s="1">
        <f t="shared" si="71"/>
        <v>14</v>
      </c>
      <c r="AM214" s="1">
        <f t="shared" si="61"/>
        <v>21</v>
      </c>
      <c r="AN214" s="1">
        <f t="shared" si="72"/>
        <v>0</v>
      </c>
    </row>
    <row r="215" spans="1:40" hidden="1" x14ac:dyDescent="0.3">
      <c r="A215" s="1">
        <v>26023</v>
      </c>
      <c r="W215" s="1" t="str">
        <f t="shared" si="56"/>
        <v>NON LIVRE</v>
      </c>
      <c r="X215" s="1" t="str">
        <f t="shared" si="57"/>
        <v>NON LIVRE</v>
      </c>
      <c r="Y215" s="1" t="str">
        <f t="shared" si="58"/>
        <v>NON LIVRE</v>
      </c>
      <c r="Z215" s="1" t="str">
        <f t="shared" si="62"/>
        <v>NON LIVRE</v>
      </c>
      <c r="AA215" s="1" t="str">
        <f t="shared" si="59"/>
        <v>NON LIVRE</v>
      </c>
      <c r="AB215" s="1" t="str">
        <f t="shared" si="63"/>
        <v>NON LIVRE</v>
      </c>
      <c r="AC215" s="1" t="str">
        <f t="shared" si="64"/>
        <v>NON LIVRE</v>
      </c>
      <c r="AD215" s="1" t="str">
        <f t="shared" si="60"/>
        <v>NON LIVRE</v>
      </c>
      <c r="AE215" s="1" t="str">
        <f t="shared" si="65"/>
        <v>NON LIVRE</v>
      </c>
      <c r="AF215" s="1" t="str">
        <f t="shared" si="66"/>
        <v>NON LIVRE</v>
      </c>
      <c r="AG215" s="1" t="str">
        <f t="shared" si="67"/>
        <v>NON LIVRE</v>
      </c>
      <c r="AH215" s="1" t="str">
        <f t="shared" si="68"/>
        <v>NON LIVRE</v>
      </c>
      <c r="AI215" s="1" t="str">
        <f t="shared" si="69"/>
        <v>NON LIVRE</v>
      </c>
      <c r="AJ215" s="1" t="str">
        <f t="shared" si="70"/>
        <v>NON LIVRE</v>
      </c>
      <c r="AK215" s="1" t="str">
        <f t="shared" si="55"/>
        <v>NON LIVRE</v>
      </c>
      <c r="AL215" s="1" t="str">
        <f t="shared" si="71"/>
        <v>NON LIVRE</v>
      </c>
      <c r="AM215" s="1" t="str">
        <f t="shared" si="61"/>
        <v>NON LIVRE</v>
      </c>
      <c r="AN215" s="1" t="str">
        <f t="shared" si="72"/>
        <v>NON LIVRE</v>
      </c>
    </row>
    <row r="216" spans="1:40" hidden="1" x14ac:dyDescent="0.3">
      <c r="A216" s="1">
        <v>26024</v>
      </c>
      <c r="W216" s="1" t="str">
        <f t="shared" si="56"/>
        <v>NON LIVRE</v>
      </c>
      <c r="X216" s="1" t="str">
        <f t="shared" si="57"/>
        <v>NON LIVRE</v>
      </c>
      <c r="Y216" s="1" t="str">
        <f t="shared" si="58"/>
        <v>NON LIVRE</v>
      </c>
      <c r="Z216" s="1" t="str">
        <f t="shared" si="62"/>
        <v>NON LIVRE</v>
      </c>
      <c r="AA216" s="1" t="str">
        <f t="shared" si="59"/>
        <v>NON LIVRE</v>
      </c>
      <c r="AB216" s="1" t="str">
        <f t="shared" si="63"/>
        <v>NON LIVRE</v>
      </c>
      <c r="AC216" s="1" t="str">
        <f t="shared" si="64"/>
        <v>NON LIVRE</v>
      </c>
      <c r="AD216" s="1" t="str">
        <f t="shared" si="60"/>
        <v>NON LIVRE</v>
      </c>
      <c r="AE216" s="1" t="str">
        <f t="shared" si="65"/>
        <v>NON LIVRE</v>
      </c>
      <c r="AF216" s="1" t="str">
        <f t="shared" si="66"/>
        <v>NON LIVRE</v>
      </c>
      <c r="AG216" s="1" t="str">
        <f t="shared" si="67"/>
        <v>NON LIVRE</v>
      </c>
      <c r="AH216" s="1" t="str">
        <f t="shared" si="68"/>
        <v>NON LIVRE</v>
      </c>
      <c r="AI216" s="1" t="str">
        <f t="shared" si="69"/>
        <v>NON LIVRE</v>
      </c>
      <c r="AJ216" s="1" t="str">
        <f t="shared" si="70"/>
        <v>NON LIVRE</v>
      </c>
      <c r="AK216" s="1" t="str">
        <f t="shared" si="55"/>
        <v>NON LIVRE</v>
      </c>
      <c r="AL216" s="1" t="str">
        <f t="shared" si="71"/>
        <v>NON LIVRE</v>
      </c>
      <c r="AM216" s="1" t="str">
        <f t="shared" si="61"/>
        <v>NON LIVRE</v>
      </c>
      <c r="AN216" s="1" t="str">
        <f t="shared" si="72"/>
        <v>NON LIVRE</v>
      </c>
    </row>
    <row r="217" spans="1:40" hidden="1" x14ac:dyDescent="0.3">
      <c r="A217" s="1">
        <v>26025</v>
      </c>
      <c r="W217" s="1" t="str">
        <f t="shared" si="56"/>
        <v>NON LIVRE</v>
      </c>
      <c r="X217" s="1" t="str">
        <f t="shared" si="57"/>
        <v>NON LIVRE</v>
      </c>
      <c r="Y217" s="1" t="str">
        <f t="shared" si="58"/>
        <v>NON LIVRE</v>
      </c>
      <c r="Z217" s="1" t="str">
        <f t="shared" si="62"/>
        <v>NON LIVRE</v>
      </c>
      <c r="AA217" s="1" t="str">
        <f t="shared" si="59"/>
        <v>NON LIVRE</v>
      </c>
      <c r="AB217" s="1" t="str">
        <f t="shared" si="63"/>
        <v>NON LIVRE</v>
      </c>
      <c r="AC217" s="1" t="str">
        <f t="shared" si="64"/>
        <v>NON LIVRE</v>
      </c>
      <c r="AD217" s="1" t="str">
        <f t="shared" si="60"/>
        <v>NON LIVRE</v>
      </c>
      <c r="AE217" s="1" t="str">
        <f t="shared" si="65"/>
        <v>NON LIVRE</v>
      </c>
      <c r="AF217" s="1" t="str">
        <f t="shared" si="66"/>
        <v>NON LIVRE</v>
      </c>
      <c r="AG217" s="1" t="str">
        <f t="shared" si="67"/>
        <v>NON LIVRE</v>
      </c>
      <c r="AH217" s="1" t="str">
        <f t="shared" si="68"/>
        <v>NON LIVRE</v>
      </c>
      <c r="AI217" s="1" t="str">
        <f t="shared" si="69"/>
        <v>NON LIVRE</v>
      </c>
      <c r="AJ217" s="1" t="str">
        <f t="shared" si="70"/>
        <v>NON LIVRE</v>
      </c>
      <c r="AK217" s="1" t="str">
        <f t="shared" si="55"/>
        <v>NON LIVRE</v>
      </c>
      <c r="AL217" s="1" t="str">
        <f t="shared" si="71"/>
        <v>NON LIVRE</v>
      </c>
      <c r="AM217" s="1" t="str">
        <f t="shared" si="61"/>
        <v>NON LIVRE</v>
      </c>
      <c r="AN217" s="1" t="str">
        <f t="shared" si="72"/>
        <v>NON LIVRE</v>
      </c>
    </row>
    <row r="218" spans="1:40" hidden="1" x14ac:dyDescent="0.3">
      <c r="A218" s="1">
        <v>26026</v>
      </c>
      <c r="W218" s="1" t="str">
        <f t="shared" si="56"/>
        <v>NON LIVRE</v>
      </c>
      <c r="X218" s="1" t="str">
        <f t="shared" si="57"/>
        <v>NON LIVRE</v>
      </c>
      <c r="Y218" s="1" t="str">
        <f t="shared" si="58"/>
        <v>NON LIVRE</v>
      </c>
      <c r="Z218" s="1" t="str">
        <f t="shared" si="62"/>
        <v>NON LIVRE</v>
      </c>
      <c r="AA218" s="1" t="str">
        <f t="shared" si="59"/>
        <v>NON LIVRE</v>
      </c>
      <c r="AB218" s="1" t="str">
        <f t="shared" si="63"/>
        <v>NON LIVRE</v>
      </c>
      <c r="AC218" s="1" t="str">
        <f t="shared" si="64"/>
        <v>NON LIVRE</v>
      </c>
      <c r="AD218" s="1" t="str">
        <f t="shared" si="60"/>
        <v>NON LIVRE</v>
      </c>
      <c r="AE218" s="1" t="str">
        <f t="shared" si="65"/>
        <v>NON LIVRE</v>
      </c>
      <c r="AF218" s="1" t="str">
        <f t="shared" si="66"/>
        <v>NON LIVRE</v>
      </c>
      <c r="AG218" s="1" t="str">
        <f t="shared" si="67"/>
        <v>NON LIVRE</v>
      </c>
      <c r="AH218" s="1" t="str">
        <f t="shared" si="68"/>
        <v>NON LIVRE</v>
      </c>
      <c r="AI218" s="1" t="str">
        <f t="shared" si="69"/>
        <v>NON LIVRE</v>
      </c>
      <c r="AJ218" s="1" t="str">
        <f t="shared" si="70"/>
        <v>NON LIVRE</v>
      </c>
      <c r="AK218" s="1" t="str">
        <f t="shared" si="55"/>
        <v>NON LIVRE</v>
      </c>
      <c r="AL218" s="1" t="str">
        <f t="shared" si="71"/>
        <v>NON LIVRE</v>
      </c>
      <c r="AM218" s="1" t="str">
        <f t="shared" si="61"/>
        <v>NON LIVRE</v>
      </c>
      <c r="AN218" s="1" t="str">
        <f t="shared" si="72"/>
        <v>NON LIVRE</v>
      </c>
    </row>
    <row r="219" spans="1:40" hidden="1" x14ac:dyDescent="0.3">
      <c r="A219" s="1">
        <v>26027</v>
      </c>
      <c r="W219" s="1" t="str">
        <f t="shared" si="56"/>
        <v>NON LIVRE</v>
      </c>
      <c r="X219" s="1" t="str">
        <f t="shared" si="57"/>
        <v>NON LIVRE</v>
      </c>
      <c r="Y219" s="1" t="str">
        <f t="shared" si="58"/>
        <v>NON LIVRE</v>
      </c>
      <c r="Z219" s="1" t="str">
        <f t="shared" si="62"/>
        <v>NON LIVRE</v>
      </c>
      <c r="AA219" s="1" t="str">
        <f t="shared" si="59"/>
        <v>NON LIVRE</v>
      </c>
      <c r="AB219" s="1" t="str">
        <f t="shared" si="63"/>
        <v>NON LIVRE</v>
      </c>
      <c r="AC219" s="1" t="str">
        <f t="shared" si="64"/>
        <v>NON LIVRE</v>
      </c>
      <c r="AD219" s="1" t="str">
        <f t="shared" si="60"/>
        <v>NON LIVRE</v>
      </c>
      <c r="AE219" s="1" t="str">
        <f t="shared" si="65"/>
        <v>NON LIVRE</v>
      </c>
      <c r="AF219" s="1" t="str">
        <f t="shared" si="66"/>
        <v>NON LIVRE</v>
      </c>
      <c r="AG219" s="1" t="str">
        <f t="shared" si="67"/>
        <v>NON LIVRE</v>
      </c>
      <c r="AH219" s="1" t="str">
        <f t="shared" si="68"/>
        <v>NON LIVRE</v>
      </c>
      <c r="AI219" s="1" t="str">
        <f t="shared" si="69"/>
        <v>NON LIVRE</v>
      </c>
      <c r="AJ219" s="1" t="str">
        <f t="shared" si="70"/>
        <v>NON LIVRE</v>
      </c>
      <c r="AK219" s="1" t="str">
        <f t="shared" si="55"/>
        <v>NON LIVRE</v>
      </c>
      <c r="AL219" s="1" t="str">
        <f t="shared" si="71"/>
        <v>NON LIVRE</v>
      </c>
      <c r="AM219" s="1" t="str">
        <f t="shared" si="61"/>
        <v>NON LIVRE</v>
      </c>
      <c r="AN219" s="1" t="str">
        <f t="shared" si="72"/>
        <v>NON LIVRE</v>
      </c>
    </row>
    <row r="220" spans="1:40" hidden="1" x14ac:dyDescent="0.3">
      <c r="A220" s="1">
        <v>26028</v>
      </c>
      <c r="W220" s="1" t="str">
        <f t="shared" si="56"/>
        <v>NON LIVRE</v>
      </c>
      <c r="X220" s="1" t="str">
        <f t="shared" si="57"/>
        <v>NON LIVRE</v>
      </c>
      <c r="Y220" s="1" t="str">
        <f t="shared" si="58"/>
        <v>NON LIVRE</v>
      </c>
      <c r="Z220" s="1" t="str">
        <f t="shared" si="62"/>
        <v>NON LIVRE</v>
      </c>
      <c r="AA220" s="1" t="str">
        <f t="shared" si="59"/>
        <v>NON LIVRE</v>
      </c>
      <c r="AB220" s="1" t="str">
        <f t="shared" si="63"/>
        <v>NON LIVRE</v>
      </c>
      <c r="AC220" s="1" t="str">
        <f t="shared" si="64"/>
        <v>NON LIVRE</v>
      </c>
      <c r="AD220" s="1" t="str">
        <f t="shared" si="60"/>
        <v>NON LIVRE</v>
      </c>
      <c r="AE220" s="1" t="str">
        <f t="shared" si="65"/>
        <v>NON LIVRE</v>
      </c>
      <c r="AF220" s="1" t="str">
        <f t="shared" si="66"/>
        <v>NON LIVRE</v>
      </c>
      <c r="AG220" s="1" t="str">
        <f t="shared" si="67"/>
        <v>NON LIVRE</v>
      </c>
      <c r="AH220" s="1" t="str">
        <f t="shared" si="68"/>
        <v>NON LIVRE</v>
      </c>
      <c r="AI220" s="1" t="str">
        <f t="shared" si="69"/>
        <v>NON LIVRE</v>
      </c>
      <c r="AJ220" s="1" t="str">
        <f t="shared" si="70"/>
        <v>NON LIVRE</v>
      </c>
      <c r="AK220" s="1" t="str">
        <f t="shared" si="55"/>
        <v>NON LIVRE</v>
      </c>
      <c r="AL220" s="1" t="str">
        <f t="shared" si="71"/>
        <v>NON LIVRE</v>
      </c>
      <c r="AM220" s="1" t="str">
        <f t="shared" si="61"/>
        <v>NON LIVRE</v>
      </c>
      <c r="AN220" s="1" t="str">
        <f t="shared" si="72"/>
        <v>NON LIVRE</v>
      </c>
    </row>
    <row r="221" spans="1:40" hidden="1" x14ac:dyDescent="0.3">
      <c r="A221" s="1">
        <v>26029</v>
      </c>
      <c r="B221" s="1" t="s">
        <v>363</v>
      </c>
      <c r="C221" s="3" t="s">
        <v>272</v>
      </c>
      <c r="D221" s="4">
        <v>600</v>
      </c>
      <c r="F221" s="2">
        <v>46063</v>
      </c>
      <c r="W221" s="1" t="str">
        <f t="shared" si="56"/>
        <v>NON LIVRE</v>
      </c>
      <c r="X221" s="1" t="str">
        <f t="shared" si="57"/>
        <v>NON LIVRE</v>
      </c>
      <c r="Y221" s="1" t="str">
        <f t="shared" si="58"/>
        <v>NON LIVRE</v>
      </c>
      <c r="Z221" s="1" t="str">
        <f t="shared" si="62"/>
        <v>NON LIVRE</v>
      </c>
      <c r="AA221" s="1" t="str">
        <f t="shared" si="59"/>
        <v>NON LIVRE</v>
      </c>
      <c r="AB221" s="1" t="str">
        <f t="shared" si="63"/>
        <v>NON LIVRE</v>
      </c>
      <c r="AC221" s="1" t="str">
        <f t="shared" si="64"/>
        <v>NON LIVRE</v>
      </c>
      <c r="AD221" s="1" t="str">
        <f t="shared" si="60"/>
        <v>NON LIVRE</v>
      </c>
      <c r="AE221" s="1" t="str">
        <f t="shared" si="65"/>
        <v>NON LIVRE</v>
      </c>
      <c r="AF221" s="1" t="str">
        <f t="shared" si="66"/>
        <v>NON LIVRE</v>
      </c>
      <c r="AG221" s="1" t="str">
        <f t="shared" si="67"/>
        <v>NON LIVRE</v>
      </c>
      <c r="AH221" s="1" t="str">
        <f t="shared" si="68"/>
        <v>NON LIVRE</v>
      </c>
      <c r="AI221" s="1" t="str">
        <f t="shared" si="69"/>
        <v>NON LIVRE</v>
      </c>
      <c r="AJ221" s="1" t="str">
        <f t="shared" si="70"/>
        <v>NON LIVRE</v>
      </c>
      <c r="AK221" s="1" t="str">
        <f t="shared" si="55"/>
        <v>NON LIVRE</v>
      </c>
      <c r="AL221" s="1" t="str">
        <f t="shared" si="71"/>
        <v>NON LIVRE</v>
      </c>
      <c r="AM221" s="1" t="str">
        <f t="shared" si="61"/>
        <v>NON LIVRE</v>
      </c>
      <c r="AN221" s="1" t="str">
        <f t="shared" si="72"/>
        <v>NON LIVRE</v>
      </c>
    </row>
    <row r="222" spans="1:40" hidden="1" x14ac:dyDescent="0.3">
      <c r="A222" s="1">
        <v>26030</v>
      </c>
      <c r="B222" s="1" t="s">
        <v>9</v>
      </c>
      <c r="C222" s="3" t="s">
        <v>348</v>
      </c>
      <c r="D222" s="4">
        <v>20000</v>
      </c>
      <c r="F222" s="2">
        <v>46064</v>
      </c>
      <c r="G222" s="2">
        <v>46064</v>
      </c>
      <c r="H222" s="2">
        <v>46083</v>
      </c>
      <c r="I222" s="2">
        <v>46113</v>
      </c>
      <c r="J222" s="2">
        <v>46113</v>
      </c>
      <c r="K222" s="2">
        <v>46080</v>
      </c>
      <c r="L222" s="2">
        <v>46119</v>
      </c>
      <c r="M222" s="2">
        <v>46086</v>
      </c>
      <c r="N222" s="2">
        <v>46122</v>
      </c>
      <c r="O222" s="2">
        <v>46121</v>
      </c>
      <c r="P222" s="2">
        <v>46136</v>
      </c>
      <c r="Q222" s="2">
        <v>46150</v>
      </c>
      <c r="R222" s="2">
        <v>46150</v>
      </c>
      <c r="S222" s="1">
        <v>1</v>
      </c>
      <c r="W222" s="1">
        <f t="shared" si="56"/>
        <v>62</v>
      </c>
      <c r="X222" s="1">
        <f t="shared" si="57"/>
        <v>62</v>
      </c>
      <c r="Y222" s="1">
        <f t="shared" si="58"/>
        <v>10</v>
      </c>
      <c r="Z222" s="1">
        <f t="shared" si="62"/>
        <v>42</v>
      </c>
      <c r="AA222" s="1">
        <f t="shared" si="59"/>
        <v>0</v>
      </c>
      <c r="AB222" s="1">
        <f t="shared" si="63"/>
        <v>13</v>
      </c>
      <c r="AC222" s="1">
        <f t="shared" si="64"/>
        <v>29</v>
      </c>
      <c r="AD222" s="1">
        <f t="shared" si="60"/>
        <v>41</v>
      </c>
      <c r="AE222" s="1">
        <f t="shared" si="65"/>
        <v>39</v>
      </c>
      <c r="AF222" s="1">
        <f t="shared" si="66"/>
        <v>12</v>
      </c>
      <c r="AG222" s="1">
        <f t="shared" si="67"/>
        <v>16</v>
      </c>
      <c r="AH222" s="1">
        <f t="shared" si="68"/>
        <v>35</v>
      </c>
      <c r="AI222" s="1">
        <f t="shared" si="69"/>
        <v>35</v>
      </c>
      <c r="AJ222" s="1">
        <f t="shared" si="70"/>
        <v>4</v>
      </c>
      <c r="AK222" s="1">
        <f t="shared" si="55"/>
        <v>2</v>
      </c>
      <c r="AL222" s="1">
        <f t="shared" si="71"/>
        <v>1</v>
      </c>
      <c r="AM222" s="1">
        <f t="shared" si="61"/>
        <v>20</v>
      </c>
      <c r="AN222" s="1">
        <f t="shared" si="72"/>
        <v>0</v>
      </c>
    </row>
    <row r="223" spans="1:40" hidden="1" x14ac:dyDescent="0.3">
      <c r="A223" s="1">
        <v>26031</v>
      </c>
      <c r="B223" s="1" t="s">
        <v>347</v>
      </c>
      <c r="C223" s="3" t="s">
        <v>349</v>
      </c>
      <c r="D223" s="4">
        <v>700</v>
      </c>
      <c r="F223" s="2">
        <v>46064</v>
      </c>
      <c r="G223" s="2">
        <v>46064</v>
      </c>
      <c r="H223" s="2">
        <v>46079</v>
      </c>
      <c r="I223" s="2">
        <v>46066</v>
      </c>
      <c r="J223" s="2">
        <v>46090</v>
      </c>
      <c r="L223" s="2">
        <v>46099</v>
      </c>
      <c r="N223" s="2">
        <v>46108</v>
      </c>
      <c r="O223" s="2">
        <v>46107</v>
      </c>
      <c r="P223" s="2">
        <v>46136</v>
      </c>
      <c r="Q223" s="2">
        <v>46136</v>
      </c>
      <c r="R223" s="2">
        <v>46136</v>
      </c>
      <c r="S223" s="1">
        <v>1</v>
      </c>
      <c r="W223" s="1">
        <f t="shared" si="56"/>
        <v>52</v>
      </c>
      <c r="X223" s="1">
        <f t="shared" si="57"/>
        <v>52</v>
      </c>
      <c r="Y223" s="1">
        <f t="shared" si="58"/>
        <v>0</v>
      </c>
      <c r="Z223" s="1">
        <f t="shared" si="62"/>
        <v>32</v>
      </c>
      <c r="AA223" s="1">
        <f t="shared" si="59"/>
        <v>0</v>
      </c>
      <c r="AB223" s="1">
        <f t="shared" si="63"/>
        <v>11</v>
      </c>
      <c r="AC223" s="1">
        <f t="shared" si="64"/>
        <v>21</v>
      </c>
      <c r="AD223" s="1">
        <f t="shared" si="60"/>
        <v>31</v>
      </c>
      <c r="AE223" s="1">
        <f t="shared" si="65"/>
        <v>25</v>
      </c>
      <c r="AF223" s="1" t="str">
        <f t="shared" si="66"/>
        <v>PAS DE DATE PAPIER</v>
      </c>
      <c r="AG223" s="1" t="str">
        <f t="shared" si="67"/>
        <v>PAS DE DATE CARTON</v>
      </c>
      <c r="AH223" s="1">
        <f t="shared" si="68"/>
        <v>2</v>
      </c>
      <c r="AI223" s="1">
        <f t="shared" si="69"/>
        <v>18</v>
      </c>
      <c r="AJ223" s="1">
        <f t="shared" si="70"/>
        <v>7</v>
      </c>
      <c r="AK223" s="1">
        <f t="shared" si="55"/>
        <v>6</v>
      </c>
      <c r="AL223" s="1">
        <f t="shared" si="71"/>
        <v>1</v>
      </c>
      <c r="AM223" s="1">
        <f t="shared" si="61"/>
        <v>20</v>
      </c>
      <c r="AN223" s="1">
        <f t="shared" si="72"/>
        <v>0</v>
      </c>
    </row>
    <row r="224" spans="1:40" hidden="1" x14ac:dyDescent="0.3">
      <c r="A224" s="1">
        <v>26032</v>
      </c>
      <c r="W224" s="1" t="str">
        <f t="shared" si="56"/>
        <v>NON LIVRE</v>
      </c>
      <c r="X224" s="1" t="str">
        <f t="shared" si="57"/>
        <v>NON LIVRE</v>
      </c>
      <c r="Y224" s="1" t="str">
        <f t="shared" si="58"/>
        <v>NON LIVRE</v>
      </c>
      <c r="Z224" s="1" t="str">
        <f t="shared" si="62"/>
        <v>NON LIVRE</v>
      </c>
      <c r="AA224" s="1" t="str">
        <f t="shared" si="59"/>
        <v>NON LIVRE</v>
      </c>
      <c r="AB224" s="1" t="str">
        <f t="shared" si="63"/>
        <v>NON LIVRE</v>
      </c>
      <c r="AC224" s="1" t="str">
        <f t="shared" si="64"/>
        <v>NON LIVRE</v>
      </c>
      <c r="AD224" s="1" t="str">
        <f t="shared" si="60"/>
        <v>NON LIVRE</v>
      </c>
      <c r="AE224" s="1" t="str">
        <f t="shared" si="65"/>
        <v>NON LIVRE</v>
      </c>
      <c r="AF224" s="1" t="str">
        <f t="shared" si="66"/>
        <v>NON LIVRE</v>
      </c>
      <c r="AG224" s="1" t="str">
        <f t="shared" si="67"/>
        <v>NON LIVRE</v>
      </c>
      <c r="AH224" s="1" t="str">
        <f t="shared" si="68"/>
        <v>NON LIVRE</v>
      </c>
      <c r="AI224" s="1" t="str">
        <f t="shared" si="69"/>
        <v>NON LIVRE</v>
      </c>
      <c r="AJ224" s="1" t="str">
        <f t="shared" si="70"/>
        <v>NON LIVRE</v>
      </c>
      <c r="AK224" s="1" t="str">
        <f t="shared" si="55"/>
        <v>NON LIVRE</v>
      </c>
      <c r="AL224" s="1" t="str">
        <f t="shared" si="71"/>
        <v>NON LIVRE</v>
      </c>
      <c r="AM224" s="1" t="str">
        <f t="shared" si="61"/>
        <v>NON LIVRE</v>
      </c>
      <c r="AN224" s="1" t="str">
        <f t="shared" si="72"/>
        <v>NON LIVRE</v>
      </c>
    </row>
    <row r="225" spans="1:40" hidden="1" x14ac:dyDescent="0.3">
      <c r="A225" s="1">
        <v>26033</v>
      </c>
      <c r="W225" s="1" t="str">
        <f t="shared" si="56"/>
        <v>NON LIVRE</v>
      </c>
      <c r="X225" s="1" t="str">
        <f t="shared" si="57"/>
        <v>NON LIVRE</v>
      </c>
      <c r="Y225" s="1" t="str">
        <f t="shared" si="58"/>
        <v>NON LIVRE</v>
      </c>
      <c r="Z225" s="1" t="str">
        <f t="shared" si="62"/>
        <v>NON LIVRE</v>
      </c>
      <c r="AA225" s="1" t="str">
        <f t="shared" si="59"/>
        <v>NON LIVRE</v>
      </c>
      <c r="AB225" s="1" t="str">
        <f t="shared" si="63"/>
        <v>NON LIVRE</v>
      </c>
      <c r="AC225" s="1" t="str">
        <f t="shared" si="64"/>
        <v>NON LIVRE</v>
      </c>
      <c r="AD225" s="1" t="str">
        <f t="shared" si="60"/>
        <v>NON LIVRE</v>
      </c>
      <c r="AE225" s="1" t="str">
        <f t="shared" si="65"/>
        <v>NON LIVRE</v>
      </c>
      <c r="AF225" s="1" t="str">
        <f t="shared" si="66"/>
        <v>NON LIVRE</v>
      </c>
      <c r="AG225" s="1" t="str">
        <f t="shared" si="67"/>
        <v>NON LIVRE</v>
      </c>
      <c r="AH225" s="1" t="str">
        <f t="shared" si="68"/>
        <v>NON LIVRE</v>
      </c>
      <c r="AI225" s="1" t="str">
        <f t="shared" si="69"/>
        <v>NON LIVRE</v>
      </c>
      <c r="AJ225" s="1" t="str">
        <f t="shared" si="70"/>
        <v>NON LIVRE</v>
      </c>
      <c r="AK225" s="1" t="str">
        <f t="shared" si="55"/>
        <v>NON LIVRE</v>
      </c>
      <c r="AL225" s="1" t="str">
        <f t="shared" si="71"/>
        <v>NON LIVRE</v>
      </c>
      <c r="AM225" s="1" t="str">
        <f t="shared" si="61"/>
        <v>NON LIVRE</v>
      </c>
      <c r="AN225" s="1" t="str">
        <f t="shared" si="72"/>
        <v>NON LIVRE</v>
      </c>
    </row>
    <row r="226" spans="1:40" hidden="1" x14ac:dyDescent="0.3">
      <c r="A226" s="1">
        <v>26034</v>
      </c>
      <c r="B226" s="1" t="s">
        <v>341</v>
      </c>
      <c r="C226" s="3" t="s">
        <v>342</v>
      </c>
      <c r="D226" s="4">
        <v>2000</v>
      </c>
      <c r="E226" s="2" t="s">
        <v>343</v>
      </c>
      <c r="F226" s="2">
        <v>46069</v>
      </c>
      <c r="H226" s="2">
        <v>46076</v>
      </c>
      <c r="I226" s="2">
        <v>46149</v>
      </c>
      <c r="J226" s="2">
        <v>46121</v>
      </c>
      <c r="L226" s="2">
        <v>46140</v>
      </c>
      <c r="M226" s="2">
        <v>46140</v>
      </c>
      <c r="N226" s="2">
        <v>46128</v>
      </c>
      <c r="O226" s="2">
        <v>46140</v>
      </c>
      <c r="P226" s="2">
        <v>46164</v>
      </c>
      <c r="Q226" s="2">
        <v>46171</v>
      </c>
      <c r="R226" s="2">
        <v>46171</v>
      </c>
      <c r="S226" s="1">
        <v>1</v>
      </c>
      <c r="W226" s="1">
        <f t="shared" si="56"/>
        <v>74</v>
      </c>
      <c r="X226" s="1">
        <f t="shared" si="57"/>
        <v>74</v>
      </c>
      <c r="Y226" s="1">
        <f t="shared" si="58"/>
        <v>5</v>
      </c>
      <c r="Z226" s="1">
        <f t="shared" si="62"/>
        <v>43</v>
      </c>
      <c r="AA226" s="1" t="str">
        <f t="shared" si="59"/>
        <v>PAS DE COMMANDE MATIERE</v>
      </c>
      <c r="AB226" s="1">
        <f t="shared" si="63"/>
        <v>32910</v>
      </c>
      <c r="AC226" s="1">
        <f t="shared" si="64"/>
        <v>38</v>
      </c>
      <c r="AD226" s="1">
        <f t="shared" si="60"/>
        <v>51</v>
      </c>
      <c r="AE226" s="1">
        <f t="shared" si="65"/>
        <v>51</v>
      </c>
      <c r="AF226" s="1" t="str">
        <f t="shared" si="66"/>
        <v>PAS DE DATE PAPIER</v>
      </c>
      <c r="AG226" s="1">
        <f t="shared" si="67"/>
        <v>51</v>
      </c>
      <c r="AH226" s="1">
        <f t="shared" si="68"/>
        <v>58</v>
      </c>
      <c r="AI226" s="1">
        <f t="shared" si="69"/>
        <v>38</v>
      </c>
      <c r="AJ226" s="1">
        <f t="shared" si="70"/>
        <v>-9</v>
      </c>
      <c r="AK226" s="1">
        <f t="shared" si="55"/>
        <v>0</v>
      </c>
      <c r="AL226" s="1">
        <f t="shared" si="71"/>
        <v>8</v>
      </c>
      <c r="AM226" s="1">
        <f t="shared" si="61"/>
        <v>23</v>
      </c>
      <c r="AN226" s="1">
        <f t="shared" si="72"/>
        <v>0</v>
      </c>
    </row>
    <row r="227" spans="1:40" hidden="1" x14ac:dyDescent="0.3">
      <c r="A227" s="1">
        <v>26035</v>
      </c>
      <c r="B227" s="1" t="s">
        <v>17</v>
      </c>
      <c r="C227" s="3" t="s">
        <v>353</v>
      </c>
      <c r="D227" s="4">
        <v>2000</v>
      </c>
      <c r="F227" s="2">
        <v>46070</v>
      </c>
      <c r="G227" s="2">
        <v>46071</v>
      </c>
      <c r="H227" s="2">
        <v>46079</v>
      </c>
      <c r="I227" s="2">
        <v>46071</v>
      </c>
      <c r="J227" s="2" t="s">
        <v>334</v>
      </c>
      <c r="K227" s="2">
        <v>46090</v>
      </c>
      <c r="L227" s="2">
        <v>46094</v>
      </c>
      <c r="M227" s="2">
        <v>46093</v>
      </c>
      <c r="N227" s="2">
        <v>46101</v>
      </c>
      <c r="O227" s="2">
        <v>46101</v>
      </c>
      <c r="P227" s="2">
        <v>46130</v>
      </c>
      <c r="Q227" s="2">
        <v>46129</v>
      </c>
      <c r="R227" s="2">
        <v>46129</v>
      </c>
      <c r="S227" s="1">
        <v>1</v>
      </c>
      <c r="W227" s="1">
        <f t="shared" si="56"/>
        <v>43</v>
      </c>
      <c r="X227" s="1">
        <f t="shared" si="57"/>
        <v>43</v>
      </c>
      <c r="Y227" s="1">
        <f t="shared" si="58"/>
        <v>-2</v>
      </c>
      <c r="Z227" s="1">
        <f t="shared" si="62"/>
        <v>23</v>
      </c>
      <c r="AA227" s="1">
        <f t="shared" si="59"/>
        <v>1</v>
      </c>
      <c r="AB227" s="1">
        <f t="shared" si="63"/>
        <v>6</v>
      </c>
      <c r="AC227" s="1">
        <f t="shared" si="64"/>
        <v>16</v>
      </c>
      <c r="AD227" s="1">
        <f t="shared" si="60"/>
        <v>23</v>
      </c>
      <c r="AE227" s="1">
        <f t="shared" si="65"/>
        <v>18</v>
      </c>
      <c r="AF227" s="1">
        <f t="shared" si="66"/>
        <v>14</v>
      </c>
      <c r="AG227" s="1">
        <f t="shared" si="67"/>
        <v>17</v>
      </c>
      <c r="AH227" s="1">
        <f t="shared" si="68"/>
        <v>1</v>
      </c>
      <c r="AI227" s="1" t="str">
        <f t="shared" si="69"/>
        <v>X</v>
      </c>
      <c r="AJ227" s="1">
        <f t="shared" si="70"/>
        <v>17</v>
      </c>
      <c r="AK227" s="1">
        <f t="shared" si="55"/>
        <v>5</v>
      </c>
      <c r="AL227" s="1">
        <f t="shared" si="71"/>
        <v>0</v>
      </c>
      <c r="AM227" s="1">
        <f t="shared" si="61"/>
        <v>20</v>
      </c>
      <c r="AN227" s="1">
        <f t="shared" si="72"/>
        <v>0</v>
      </c>
    </row>
    <row r="228" spans="1:40" hidden="1" x14ac:dyDescent="0.3">
      <c r="A228" s="1">
        <v>26036</v>
      </c>
      <c r="W228" s="1" t="str">
        <f t="shared" si="56"/>
        <v>NON LIVRE</v>
      </c>
      <c r="X228" s="1" t="str">
        <f t="shared" si="57"/>
        <v>NON LIVRE</v>
      </c>
      <c r="Y228" s="1" t="str">
        <f t="shared" si="58"/>
        <v>NON LIVRE</v>
      </c>
      <c r="Z228" s="1" t="str">
        <f t="shared" si="62"/>
        <v>NON LIVRE</v>
      </c>
      <c r="AA228" s="1" t="str">
        <f t="shared" si="59"/>
        <v>NON LIVRE</v>
      </c>
      <c r="AB228" s="1" t="str">
        <f t="shared" si="63"/>
        <v>NON LIVRE</v>
      </c>
      <c r="AC228" s="1" t="str">
        <f t="shared" si="64"/>
        <v>NON LIVRE</v>
      </c>
      <c r="AD228" s="1" t="str">
        <f t="shared" si="60"/>
        <v>NON LIVRE</v>
      </c>
      <c r="AE228" s="1" t="str">
        <f t="shared" si="65"/>
        <v>NON LIVRE</v>
      </c>
      <c r="AF228" s="1" t="str">
        <f t="shared" si="66"/>
        <v>NON LIVRE</v>
      </c>
      <c r="AG228" s="1" t="str">
        <f t="shared" si="67"/>
        <v>NON LIVRE</v>
      </c>
      <c r="AH228" s="1" t="str">
        <f t="shared" si="68"/>
        <v>NON LIVRE</v>
      </c>
      <c r="AI228" s="1" t="str">
        <f t="shared" si="69"/>
        <v>NON LIVRE</v>
      </c>
      <c r="AJ228" s="1" t="str">
        <f t="shared" si="70"/>
        <v>NON LIVRE</v>
      </c>
      <c r="AK228" s="1" t="str">
        <f t="shared" si="55"/>
        <v>NON LIVRE</v>
      </c>
      <c r="AL228" s="1" t="str">
        <f t="shared" si="71"/>
        <v>NON LIVRE</v>
      </c>
      <c r="AM228" s="1" t="str">
        <f t="shared" si="61"/>
        <v>NON LIVRE</v>
      </c>
      <c r="AN228" s="1" t="str">
        <f t="shared" si="72"/>
        <v>NON LIVRE</v>
      </c>
    </row>
    <row r="229" spans="1:40" hidden="1" x14ac:dyDescent="0.3">
      <c r="A229" s="1">
        <v>26037</v>
      </c>
      <c r="W229" s="1" t="str">
        <f t="shared" si="56"/>
        <v>NON LIVRE</v>
      </c>
      <c r="X229" s="1" t="str">
        <f t="shared" si="57"/>
        <v>NON LIVRE</v>
      </c>
      <c r="Y229" s="1" t="str">
        <f t="shared" si="58"/>
        <v>NON LIVRE</v>
      </c>
      <c r="Z229" s="1" t="str">
        <f t="shared" si="62"/>
        <v>NON LIVRE</v>
      </c>
      <c r="AA229" s="1" t="str">
        <f t="shared" si="59"/>
        <v>NON LIVRE</v>
      </c>
      <c r="AB229" s="1" t="str">
        <f t="shared" si="63"/>
        <v>NON LIVRE</v>
      </c>
      <c r="AC229" s="1" t="str">
        <f t="shared" si="64"/>
        <v>NON LIVRE</v>
      </c>
      <c r="AD229" s="1" t="str">
        <f t="shared" si="60"/>
        <v>NON LIVRE</v>
      </c>
      <c r="AE229" s="1" t="str">
        <f t="shared" si="65"/>
        <v>NON LIVRE</v>
      </c>
      <c r="AF229" s="1" t="str">
        <f t="shared" si="66"/>
        <v>NON LIVRE</v>
      </c>
      <c r="AG229" s="1" t="str">
        <f t="shared" si="67"/>
        <v>NON LIVRE</v>
      </c>
      <c r="AH229" s="1" t="str">
        <f t="shared" si="68"/>
        <v>NON LIVRE</v>
      </c>
      <c r="AI229" s="1" t="str">
        <f t="shared" si="69"/>
        <v>NON LIVRE</v>
      </c>
      <c r="AJ229" s="1" t="str">
        <f t="shared" si="70"/>
        <v>NON LIVRE</v>
      </c>
      <c r="AK229" s="1" t="str">
        <f t="shared" si="55"/>
        <v>NON LIVRE</v>
      </c>
      <c r="AL229" s="1" t="str">
        <f t="shared" si="71"/>
        <v>NON LIVRE</v>
      </c>
      <c r="AM229" s="1" t="str">
        <f t="shared" si="61"/>
        <v>NON LIVRE</v>
      </c>
      <c r="AN229" s="1" t="str">
        <f t="shared" si="72"/>
        <v>NON LIVRE</v>
      </c>
    </row>
    <row r="230" spans="1:40" hidden="1" x14ac:dyDescent="0.3">
      <c r="A230" s="1">
        <v>26038</v>
      </c>
      <c r="W230" s="1" t="str">
        <f t="shared" si="56"/>
        <v>NON LIVRE</v>
      </c>
      <c r="X230" s="1" t="str">
        <f t="shared" si="57"/>
        <v>NON LIVRE</v>
      </c>
      <c r="Y230" s="1" t="str">
        <f t="shared" si="58"/>
        <v>NON LIVRE</v>
      </c>
      <c r="Z230" s="1" t="str">
        <f t="shared" si="62"/>
        <v>NON LIVRE</v>
      </c>
      <c r="AA230" s="1" t="str">
        <f t="shared" si="59"/>
        <v>NON LIVRE</v>
      </c>
      <c r="AB230" s="1" t="str">
        <f t="shared" si="63"/>
        <v>NON LIVRE</v>
      </c>
      <c r="AC230" s="1" t="str">
        <f t="shared" si="64"/>
        <v>NON LIVRE</v>
      </c>
      <c r="AD230" s="1" t="str">
        <f t="shared" si="60"/>
        <v>NON LIVRE</v>
      </c>
      <c r="AE230" s="1" t="str">
        <f t="shared" si="65"/>
        <v>NON LIVRE</v>
      </c>
      <c r="AF230" s="1" t="str">
        <f t="shared" si="66"/>
        <v>NON LIVRE</v>
      </c>
      <c r="AG230" s="1" t="str">
        <f t="shared" si="67"/>
        <v>NON LIVRE</v>
      </c>
      <c r="AH230" s="1" t="str">
        <f t="shared" si="68"/>
        <v>NON LIVRE</v>
      </c>
      <c r="AI230" s="1" t="str">
        <f t="shared" si="69"/>
        <v>NON LIVRE</v>
      </c>
      <c r="AJ230" s="1" t="str">
        <f t="shared" si="70"/>
        <v>NON LIVRE</v>
      </c>
      <c r="AK230" s="1" t="str">
        <f t="shared" si="55"/>
        <v>NON LIVRE</v>
      </c>
      <c r="AL230" s="1" t="str">
        <f t="shared" si="71"/>
        <v>NON LIVRE</v>
      </c>
      <c r="AM230" s="1" t="str">
        <f t="shared" si="61"/>
        <v>NON LIVRE</v>
      </c>
      <c r="AN230" s="1" t="str">
        <f t="shared" si="72"/>
        <v>NON LIVRE</v>
      </c>
    </row>
    <row r="231" spans="1:40" hidden="1" x14ac:dyDescent="0.3">
      <c r="A231" s="1">
        <v>26039</v>
      </c>
      <c r="W231" s="1" t="str">
        <f t="shared" si="56"/>
        <v>NON LIVRE</v>
      </c>
      <c r="X231" s="1" t="str">
        <f t="shared" si="57"/>
        <v>NON LIVRE</v>
      </c>
      <c r="Y231" s="1" t="str">
        <f t="shared" si="58"/>
        <v>NON LIVRE</v>
      </c>
      <c r="Z231" s="1" t="str">
        <f t="shared" si="62"/>
        <v>NON LIVRE</v>
      </c>
      <c r="AA231" s="1" t="str">
        <f t="shared" si="59"/>
        <v>NON LIVRE</v>
      </c>
      <c r="AB231" s="1" t="str">
        <f t="shared" si="63"/>
        <v>NON LIVRE</v>
      </c>
      <c r="AC231" s="1" t="str">
        <f t="shared" si="64"/>
        <v>NON LIVRE</v>
      </c>
      <c r="AD231" s="1" t="str">
        <f t="shared" si="60"/>
        <v>NON LIVRE</v>
      </c>
      <c r="AE231" s="1" t="str">
        <f t="shared" si="65"/>
        <v>NON LIVRE</v>
      </c>
      <c r="AF231" s="1" t="str">
        <f t="shared" si="66"/>
        <v>NON LIVRE</v>
      </c>
      <c r="AG231" s="1" t="str">
        <f t="shared" si="67"/>
        <v>NON LIVRE</v>
      </c>
      <c r="AH231" s="1" t="str">
        <f t="shared" si="68"/>
        <v>NON LIVRE</v>
      </c>
      <c r="AI231" s="1" t="str">
        <f t="shared" si="69"/>
        <v>NON LIVRE</v>
      </c>
      <c r="AJ231" s="1" t="str">
        <f t="shared" si="70"/>
        <v>NON LIVRE</v>
      </c>
      <c r="AK231" s="1" t="str">
        <f t="shared" ref="AK231:AK254" si="73">IFERROR(IF($R231="","NON LIVRE",IF($L231="","PAS D'IMPRESSION",IF($O231="","PAS DE DATE DEPART EN PROD TIRAGES ET ACHATS",NETWORKDAYS($L231,$O231)-1))),$O231)</f>
        <v>NON LIVRE</v>
      </c>
      <c r="AL231" s="1" t="str">
        <f t="shared" si="71"/>
        <v>NON LIVRE</v>
      </c>
      <c r="AM231" s="1" t="str">
        <f t="shared" si="61"/>
        <v>NON LIVRE</v>
      </c>
      <c r="AN231" s="1" t="str">
        <f t="shared" si="72"/>
        <v>NON LIVRE</v>
      </c>
    </row>
    <row r="232" spans="1:40" hidden="1" x14ac:dyDescent="0.3">
      <c r="A232" s="1">
        <v>26040</v>
      </c>
      <c r="W232" s="1" t="str">
        <f t="shared" si="56"/>
        <v>NON LIVRE</v>
      </c>
      <c r="X232" s="1" t="str">
        <f t="shared" si="57"/>
        <v>NON LIVRE</v>
      </c>
      <c r="Y232" s="1" t="str">
        <f t="shared" si="58"/>
        <v>NON LIVRE</v>
      </c>
      <c r="Z232" s="1" t="str">
        <f t="shared" si="62"/>
        <v>NON LIVRE</v>
      </c>
      <c r="AA232" s="1" t="str">
        <f t="shared" si="59"/>
        <v>NON LIVRE</v>
      </c>
      <c r="AB232" s="1" t="str">
        <f t="shared" si="63"/>
        <v>NON LIVRE</v>
      </c>
      <c r="AC232" s="1" t="str">
        <f t="shared" si="64"/>
        <v>NON LIVRE</v>
      </c>
      <c r="AD232" s="1" t="str">
        <f t="shared" si="60"/>
        <v>NON LIVRE</v>
      </c>
      <c r="AE232" s="1" t="str">
        <f t="shared" si="65"/>
        <v>NON LIVRE</v>
      </c>
      <c r="AF232" s="1" t="str">
        <f t="shared" si="66"/>
        <v>NON LIVRE</v>
      </c>
      <c r="AG232" s="1" t="str">
        <f t="shared" si="67"/>
        <v>NON LIVRE</v>
      </c>
      <c r="AH232" s="1" t="str">
        <f t="shared" si="68"/>
        <v>NON LIVRE</v>
      </c>
      <c r="AI232" s="1" t="str">
        <f t="shared" si="69"/>
        <v>NON LIVRE</v>
      </c>
      <c r="AJ232" s="1" t="str">
        <f t="shared" si="70"/>
        <v>NON LIVRE</v>
      </c>
      <c r="AK232" s="1" t="str">
        <f t="shared" si="73"/>
        <v>NON LIVRE</v>
      </c>
      <c r="AL232" s="1" t="str">
        <f t="shared" si="71"/>
        <v>NON LIVRE</v>
      </c>
      <c r="AM232" s="1" t="str">
        <f t="shared" si="61"/>
        <v>NON LIVRE</v>
      </c>
      <c r="AN232" s="1" t="str">
        <f t="shared" si="72"/>
        <v>NON LIVRE</v>
      </c>
    </row>
    <row r="233" spans="1:40" hidden="1" x14ac:dyDescent="0.3">
      <c r="A233" s="1">
        <v>26041</v>
      </c>
      <c r="W233" s="1" t="str">
        <f t="shared" si="56"/>
        <v>NON LIVRE</v>
      </c>
      <c r="X233" s="1" t="str">
        <f t="shared" si="57"/>
        <v>NON LIVRE</v>
      </c>
      <c r="Y233" s="1" t="str">
        <f t="shared" si="58"/>
        <v>NON LIVRE</v>
      </c>
      <c r="Z233" s="1" t="str">
        <f t="shared" si="62"/>
        <v>NON LIVRE</v>
      </c>
      <c r="AA233" s="1" t="str">
        <f t="shared" si="59"/>
        <v>NON LIVRE</v>
      </c>
      <c r="AB233" s="1" t="str">
        <f t="shared" si="63"/>
        <v>NON LIVRE</v>
      </c>
      <c r="AC233" s="1" t="str">
        <f t="shared" si="64"/>
        <v>NON LIVRE</v>
      </c>
      <c r="AD233" s="1" t="str">
        <f t="shared" si="60"/>
        <v>NON LIVRE</v>
      </c>
      <c r="AE233" s="1" t="str">
        <f t="shared" si="65"/>
        <v>NON LIVRE</v>
      </c>
      <c r="AF233" s="1" t="str">
        <f t="shared" si="66"/>
        <v>NON LIVRE</v>
      </c>
      <c r="AG233" s="1" t="str">
        <f t="shared" si="67"/>
        <v>NON LIVRE</v>
      </c>
      <c r="AH233" s="1" t="str">
        <f t="shared" si="68"/>
        <v>NON LIVRE</v>
      </c>
      <c r="AI233" s="1" t="str">
        <f t="shared" si="69"/>
        <v>NON LIVRE</v>
      </c>
      <c r="AJ233" s="1" t="str">
        <f t="shared" si="70"/>
        <v>NON LIVRE</v>
      </c>
      <c r="AK233" s="1" t="str">
        <f t="shared" si="73"/>
        <v>NON LIVRE</v>
      </c>
      <c r="AL233" s="1" t="str">
        <f t="shared" si="71"/>
        <v>NON LIVRE</v>
      </c>
      <c r="AM233" s="1" t="str">
        <f t="shared" si="61"/>
        <v>NON LIVRE</v>
      </c>
      <c r="AN233" s="1" t="str">
        <f t="shared" si="72"/>
        <v>NON LIVRE</v>
      </c>
    </row>
    <row r="234" spans="1:40" hidden="1" x14ac:dyDescent="0.3">
      <c r="A234" s="1">
        <v>26042</v>
      </c>
      <c r="W234" s="1" t="str">
        <f t="shared" si="56"/>
        <v>NON LIVRE</v>
      </c>
      <c r="X234" s="1" t="str">
        <f t="shared" si="57"/>
        <v>NON LIVRE</v>
      </c>
      <c r="Y234" s="1" t="str">
        <f t="shared" si="58"/>
        <v>NON LIVRE</v>
      </c>
      <c r="Z234" s="1" t="str">
        <f t="shared" si="62"/>
        <v>NON LIVRE</v>
      </c>
      <c r="AA234" s="1" t="str">
        <f t="shared" si="59"/>
        <v>NON LIVRE</v>
      </c>
      <c r="AB234" s="1" t="str">
        <f t="shared" si="63"/>
        <v>NON LIVRE</v>
      </c>
      <c r="AC234" s="1" t="str">
        <f t="shared" si="64"/>
        <v>NON LIVRE</v>
      </c>
      <c r="AD234" s="1" t="str">
        <f t="shared" si="60"/>
        <v>NON LIVRE</v>
      </c>
      <c r="AE234" s="1" t="str">
        <f t="shared" si="65"/>
        <v>NON LIVRE</v>
      </c>
      <c r="AF234" s="1" t="str">
        <f t="shared" si="66"/>
        <v>NON LIVRE</v>
      </c>
      <c r="AG234" s="1" t="str">
        <f t="shared" si="67"/>
        <v>NON LIVRE</v>
      </c>
      <c r="AH234" s="1" t="str">
        <f t="shared" si="68"/>
        <v>NON LIVRE</v>
      </c>
      <c r="AI234" s="1" t="str">
        <f t="shared" si="69"/>
        <v>NON LIVRE</v>
      </c>
      <c r="AJ234" s="1" t="str">
        <f t="shared" si="70"/>
        <v>NON LIVRE</v>
      </c>
      <c r="AK234" s="1" t="str">
        <f t="shared" si="73"/>
        <v>NON LIVRE</v>
      </c>
      <c r="AL234" s="1" t="str">
        <f t="shared" si="71"/>
        <v>NON LIVRE</v>
      </c>
      <c r="AM234" s="1" t="str">
        <f t="shared" si="61"/>
        <v>NON LIVRE</v>
      </c>
      <c r="AN234" s="1" t="str">
        <f t="shared" si="72"/>
        <v>NON LIVRE</v>
      </c>
    </row>
    <row r="235" spans="1:40" hidden="1" x14ac:dyDescent="0.3">
      <c r="A235" s="1">
        <v>26043</v>
      </c>
      <c r="W235" s="1" t="str">
        <f t="shared" si="56"/>
        <v>NON LIVRE</v>
      </c>
      <c r="X235" s="1" t="str">
        <f t="shared" si="57"/>
        <v>NON LIVRE</v>
      </c>
      <c r="Y235" s="1" t="str">
        <f t="shared" si="58"/>
        <v>NON LIVRE</v>
      </c>
      <c r="Z235" s="1" t="str">
        <f t="shared" si="62"/>
        <v>NON LIVRE</v>
      </c>
      <c r="AA235" s="1" t="str">
        <f t="shared" si="59"/>
        <v>NON LIVRE</v>
      </c>
      <c r="AB235" s="1" t="str">
        <f t="shared" si="63"/>
        <v>NON LIVRE</v>
      </c>
      <c r="AC235" s="1" t="str">
        <f t="shared" si="64"/>
        <v>NON LIVRE</v>
      </c>
      <c r="AD235" s="1" t="str">
        <f t="shared" si="60"/>
        <v>NON LIVRE</v>
      </c>
      <c r="AE235" s="1" t="str">
        <f t="shared" si="65"/>
        <v>NON LIVRE</v>
      </c>
      <c r="AF235" s="1" t="str">
        <f t="shared" si="66"/>
        <v>NON LIVRE</v>
      </c>
      <c r="AG235" s="1" t="str">
        <f t="shared" si="67"/>
        <v>NON LIVRE</v>
      </c>
      <c r="AH235" s="1" t="str">
        <f t="shared" si="68"/>
        <v>NON LIVRE</v>
      </c>
      <c r="AI235" s="1" t="str">
        <f t="shared" si="69"/>
        <v>NON LIVRE</v>
      </c>
      <c r="AJ235" s="1" t="str">
        <f t="shared" si="70"/>
        <v>NON LIVRE</v>
      </c>
      <c r="AK235" s="1" t="str">
        <f t="shared" si="73"/>
        <v>NON LIVRE</v>
      </c>
      <c r="AL235" s="1" t="str">
        <f t="shared" si="71"/>
        <v>NON LIVRE</v>
      </c>
      <c r="AM235" s="1" t="str">
        <f t="shared" si="61"/>
        <v>NON LIVRE</v>
      </c>
      <c r="AN235" s="1" t="str">
        <f t="shared" si="72"/>
        <v>NON LIVRE</v>
      </c>
    </row>
    <row r="236" spans="1:40" hidden="1" x14ac:dyDescent="0.3">
      <c r="A236" s="1">
        <v>26044</v>
      </c>
      <c r="B236" s="1" t="s">
        <v>51</v>
      </c>
      <c r="C236" s="3" t="s">
        <v>350</v>
      </c>
      <c r="D236" s="4">
        <v>1000</v>
      </c>
      <c r="F236" s="2">
        <v>46076</v>
      </c>
      <c r="G236" s="2">
        <v>46084</v>
      </c>
      <c r="H236" s="2">
        <v>46090</v>
      </c>
      <c r="I236" s="2">
        <v>46084</v>
      </c>
      <c r="L236" s="2">
        <v>46104</v>
      </c>
      <c r="M236" s="2" t="s">
        <v>334</v>
      </c>
      <c r="N236" s="2">
        <v>46108</v>
      </c>
      <c r="O236" s="2">
        <v>46107</v>
      </c>
      <c r="P236" s="2">
        <v>46136</v>
      </c>
      <c r="Q236" s="2">
        <v>46136</v>
      </c>
      <c r="R236" s="2">
        <v>46136</v>
      </c>
      <c r="S236" s="1">
        <v>1</v>
      </c>
      <c r="W236" s="1">
        <f t="shared" si="56"/>
        <v>44</v>
      </c>
      <c r="X236" s="1">
        <f t="shared" si="57"/>
        <v>44</v>
      </c>
      <c r="Y236" s="1">
        <f t="shared" si="58"/>
        <v>0</v>
      </c>
      <c r="Z236" s="1">
        <f t="shared" si="62"/>
        <v>24</v>
      </c>
      <c r="AA236" s="1">
        <f t="shared" si="59"/>
        <v>6</v>
      </c>
      <c r="AB236" s="1">
        <f t="shared" si="63"/>
        <v>4</v>
      </c>
      <c r="AC236" s="1">
        <f t="shared" si="64"/>
        <v>14</v>
      </c>
      <c r="AD236" s="1">
        <f t="shared" si="60"/>
        <v>23</v>
      </c>
      <c r="AE236" s="1">
        <f t="shared" si="65"/>
        <v>20</v>
      </c>
      <c r="AF236" s="1" t="str">
        <f t="shared" si="66"/>
        <v>PAS DE DATE PAPIER</v>
      </c>
      <c r="AG236" s="1" t="str">
        <f t="shared" si="67"/>
        <v>X</v>
      </c>
      <c r="AH236" s="1">
        <f t="shared" si="68"/>
        <v>6</v>
      </c>
      <c r="AI236" s="1" t="str">
        <f t="shared" si="69"/>
        <v>PAS DE DATE VALIDATION MODELE CLIENT</v>
      </c>
      <c r="AJ236" s="1">
        <f t="shared" si="70"/>
        <v>14</v>
      </c>
      <c r="AK236" s="1">
        <f t="shared" si="73"/>
        <v>3</v>
      </c>
      <c r="AL236" s="1">
        <f t="shared" si="71"/>
        <v>1</v>
      </c>
      <c r="AM236" s="1">
        <f t="shared" si="61"/>
        <v>20</v>
      </c>
      <c r="AN236" s="1">
        <f t="shared" si="72"/>
        <v>0</v>
      </c>
    </row>
    <row r="237" spans="1:40" hidden="1" x14ac:dyDescent="0.3">
      <c r="A237" s="1">
        <v>26045</v>
      </c>
      <c r="B237" s="1" t="s">
        <v>51</v>
      </c>
      <c r="C237" s="3" t="s">
        <v>345</v>
      </c>
      <c r="D237" s="4">
        <v>300</v>
      </c>
      <c r="F237" s="2">
        <v>46076</v>
      </c>
      <c r="G237" s="2">
        <v>46079</v>
      </c>
      <c r="H237" s="2">
        <v>46115</v>
      </c>
      <c r="I237" s="2">
        <v>46091</v>
      </c>
      <c r="J237" s="2">
        <v>46111</v>
      </c>
      <c r="L237" s="2">
        <v>46120</v>
      </c>
      <c r="N237" s="2">
        <v>46129</v>
      </c>
      <c r="O237" s="2">
        <v>46128</v>
      </c>
      <c r="P237" s="2">
        <v>46150</v>
      </c>
      <c r="Q237" s="2">
        <v>46150</v>
      </c>
      <c r="R237" s="2">
        <v>46150</v>
      </c>
      <c r="S237" s="1">
        <v>1</v>
      </c>
      <c r="W237" s="1">
        <f t="shared" si="56"/>
        <v>54</v>
      </c>
      <c r="X237" s="1">
        <f t="shared" si="57"/>
        <v>54</v>
      </c>
      <c r="Y237" s="1">
        <f t="shared" si="58"/>
        <v>0</v>
      </c>
      <c r="Z237" s="1">
        <f t="shared" si="62"/>
        <v>39</v>
      </c>
      <c r="AA237" s="1">
        <f t="shared" si="59"/>
        <v>3</v>
      </c>
      <c r="AB237" s="1">
        <f t="shared" si="63"/>
        <v>26</v>
      </c>
      <c r="AC237" s="1">
        <f t="shared" si="64"/>
        <v>10</v>
      </c>
      <c r="AD237" s="1">
        <f t="shared" si="60"/>
        <v>38</v>
      </c>
      <c r="AE237" s="1">
        <f t="shared" si="65"/>
        <v>32</v>
      </c>
      <c r="AF237" s="1" t="str">
        <f t="shared" si="66"/>
        <v>PAS DE DATE PAPIER</v>
      </c>
      <c r="AG237" s="1" t="str">
        <f t="shared" si="67"/>
        <v>PAS DE DATE CARTON</v>
      </c>
      <c r="AH237" s="1">
        <f t="shared" si="68"/>
        <v>11</v>
      </c>
      <c r="AI237" s="1">
        <f t="shared" si="69"/>
        <v>25</v>
      </c>
      <c r="AJ237" s="1">
        <f t="shared" si="70"/>
        <v>7</v>
      </c>
      <c r="AK237" s="1">
        <f t="shared" si="73"/>
        <v>6</v>
      </c>
      <c r="AL237" s="1">
        <f t="shared" si="71"/>
        <v>1</v>
      </c>
      <c r="AM237" s="1">
        <f t="shared" si="61"/>
        <v>15</v>
      </c>
      <c r="AN237" s="1">
        <f t="shared" si="72"/>
        <v>0</v>
      </c>
    </row>
    <row r="238" spans="1:40" hidden="1" x14ac:dyDescent="0.3">
      <c r="A238" s="1">
        <v>26046</v>
      </c>
      <c r="B238" s="1" t="s">
        <v>51</v>
      </c>
      <c r="C238" s="3" t="s">
        <v>346</v>
      </c>
      <c r="D238" s="4">
        <v>280</v>
      </c>
      <c r="F238" s="2">
        <v>46076</v>
      </c>
      <c r="G238" s="2">
        <v>46085</v>
      </c>
      <c r="H238" s="2">
        <v>46115</v>
      </c>
      <c r="I238" s="2">
        <v>46091</v>
      </c>
      <c r="J238" s="2">
        <v>46111</v>
      </c>
      <c r="L238" s="2">
        <v>46120</v>
      </c>
      <c r="N238" s="2">
        <v>46129</v>
      </c>
      <c r="O238" s="2">
        <v>46128</v>
      </c>
      <c r="P238" s="2">
        <v>46150</v>
      </c>
      <c r="Q238" s="2">
        <v>46150</v>
      </c>
      <c r="R238" s="2">
        <v>46150</v>
      </c>
      <c r="S238" s="1">
        <v>1</v>
      </c>
      <c r="W238" s="1">
        <f t="shared" si="56"/>
        <v>54</v>
      </c>
      <c r="X238" s="1">
        <f t="shared" si="57"/>
        <v>54</v>
      </c>
      <c r="Y238" s="1">
        <f t="shared" si="58"/>
        <v>0</v>
      </c>
      <c r="Z238" s="1">
        <f t="shared" si="62"/>
        <v>39</v>
      </c>
      <c r="AA238" s="1">
        <f t="shared" si="59"/>
        <v>7</v>
      </c>
      <c r="AB238" s="1">
        <f t="shared" si="63"/>
        <v>22</v>
      </c>
      <c r="AC238" s="1">
        <f t="shared" si="64"/>
        <v>10</v>
      </c>
      <c r="AD238" s="1">
        <f t="shared" si="60"/>
        <v>38</v>
      </c>
      <c r="AE238" s="1">
        <f t="shared" si="65"/>
        <v>32</v>
      </c>
      <c r="AF238" s="1" t="str">
        <f t="shared" si="66"/>
        <v>PAS DE DATE PAPIER</v>
      </c>
      <c r="AG238" s="1" t="str">
        <f t="shared" si="67"/>
        <v>PAS DE DATE CARTON</v>
      </c>
      <c r="AH238" s="1">
        <f t="shared" si="68"/>
        <v>11</v>
      </c>
      <c r="AI238" s="1">
        <f t="shared" si="69"/>
        <v>25</v>
      </c>
      <c r="AJ238" s="1">
        <f t="shared" si="70"/>
        <v>7</v>
      </c>
      <c r="AK238" s="1">
        <f t="shared" si="73"/>
        <v>6</v>
      </c>
      <c r="AL238" s="1">
        <f t="shared" si="71"/>
        <v>1</v>
      </c>
      <c r="AM238" s="1">
        <f t="shared" si="61"/>
        <v>15</v>
      </c>
      <c r="AN238" s="1">
        <f t="shared" si="72"/>
        <v>0</v>
      </c>
    </row>
    <row r="239" spans="1:40" hidden="1" x14ac:dyDescent="0.3">
      <c r="A239" s="1">
        <v>26047</v>
      </c>
      <c r="B239" s="1" t="s">
        <v>354</v>
      </c>
      <c r="C239" s="3" t="s">
        <v>355</v>
      </c>
      <c r="D239" s="4">
        <v>1050</v>
      </c>
      <c r="F239" s="2">
        <v>46076</v>
      </c>
      <c r="G239" s="2">
        <v>46087</v>
      </c>
      <c r="H239" s="2">
        <v>46087</v>
      </c>
      <c r="I239" s="2">
        <v>46080</v>
      </c>
      <c r="J239" s="2" t="s">
        <v>334</v>
      </c>
      <c r="L239" s="2">
        <v>46099</v>
      </c>
      <c r="N239" s="2">
        <v>46101</v>
      </c>
      <c r="O239" s="2">
        <v>46108</v>
      </c>
      <c r="P239" s="2">
        <v>46129</v>
      </c>
      <c r="Q239" s="2">
        <v>46129</v>
      </c>
      <c r="R239" s="2">
        <v>46129</v>
      </c>
      <c r="S239" s="1">
        <v>1</v>
      </c>
      <c r="W239" s="1">
        <f t="shared" si="56"/>
        <v>39</v>
      </c>
      <c r="X239" s="1">
        <f t="shared" si="57"/>
        <v>39</v>
      </c>
      <c r="Y239" s="1">
        <f t="shared" si="58"/>
        <v>0</v>
      </c>
      <c r="Z239" s="1">
        <f t="shared" si="62"/>
        <v>19</v>
      </c>
      <c r="AA239" s="1">
        <f t="shared" si="59"/>
        <v>9</v>
      </c>
      <c r="AB239" s="1">
        <f t="shared" si="63"/>
        <v>0</v>
      </c>
      <c r="AC239" s="1">
        <f t="shared" si="64"/>
        <v>10</v>
      </c>
      <c r="AD239" s="1">
        <f t="shared" si="60"/>
        <v>24</v>
      </c>
      <c r="AE239" s="1">
        <f t="shared" si="65"/>
        <v>17</v>
      </c>
      <c r="AF239" s="1" t="str">
        <f t="shared" si="66"/>
        <v>PAS DE DATE PAPIER</v>
      </c>
      <c r="AG239" s="1" t="str">
        <f t="shared" si="67"/>
        <v>PAS DE DATE CARTON</v>
      </c>
      <c r="AH239" s="1">
        <f t="shared" si="68"/>
        <v>4</v>
      </c>
      <c r="AI239" s="1" t="str">
        <f t="shared" si="69"/>
        <v>X</v>
      </c>
      <c r="AJ239" s="1">
        <f t="shared" si="70"/>
        <v>13</v>
      </c>
      <c r="AK239" s="1">
        <f t="shared" si="73"/>
        <v>7</v>
      </c>
      <c r="AL239" s="1">
        <f t="shared" si="71"/>
        <v>5</v>
      </c>
      <c r="AM239" s="1">
        <f t="shared" si="61"/>
        <v>15</v>
      </c>
      <c r="AN239" s="1">
        <f t="shared" si="72"/>
        <v>0</v>
      </c>
    </row>
    <row r="240" spans="1:40" hidden="1" x14ac:dyDescent="0.3">
      <c r="A240" s="1">
        <v>26048</v>
      </c>
      <c r="W240" s="1" t="str">
        <f t="shared" si="56"/>
        <v>NON LIVRE</v>
      </c>
      <c r="X240" s="1" t="str">
        <f t="shared" si="57"/>
        <v>NON LIVRE</v>
      </c>
      <c r="Y240" s="1" t="str">
        <f t="shared" si="58"/>
        <v>NON LIVRE</v>
      </c>
      <c r="Z240" s="1" t="str">
        <f t="shared" si="62"/>
        <v>NON LIVRE</v>
      </c>
      <c r="AA240" s="1" t="str">
        <f t="shared" si="59"/>
        <v>NON LIVRE</v>
      </c>
      <c r="AB240" s="1" t="str">
        <f t="shared" si="63"/>
        <v>NON LIVRE</v>
      </c>
      <c r="AC240" s="1" t="str">
        <f t="shared" si="64"/>
        <v>NON LIVRE</v>
      </c>
      <c r="AD240" s="1" t="str">
        <f t="shared" si="60"/>
        <v>NON LIVRE</v>
      </c>
      <c r="AE240" s="1" t="str">
        <f t="shared" si="65"/>
        <v>NON LIVRE</v>
      </c>
      <c r="AF240" s="1" t="str">
        <f t="shared" si="66"/>
        <v>NON LIVRE</v>
      </c>
      <c r="AG240" s="1" t="str">
        <f t="shared" si="67"/>
        <v>NON LIVRE</v>
      </c>
      <c r="AH240" s="1" t="str">
        <f t="shared" si="68"/>
        <v>NON LIVRE</v>
      </c>
      <c r="AI240" s="1" t="str">
        <f t="shared" si="69"/>
        <v>NON LIVRE</v>
      </c>
      <c r="AJ240" s="1" t="str">
        <f t="shared" si="70"/>
        <v>NON LIVRE</v>
      </c>
      <c r="AK240" s="1" t="str">
        <f t="shared" si="73"/>
        <v>NON LIVRE</v>
      </c>
      <c r="AL240" s="1" t="str">
        <f t="shared" si="71"/>
        <v>NON LIVRE</v>
      </c>
      <c r="AM240" s="1" t="str">
        <f t="shared" si="61"/>
        <v>NON LIVRE</v>
      </c>
      <c r="AN240" s="1" t="str">
        <f t="shared" si="72"/>
        <v>NON LIVRE</v>
      </c>
    </row>
    <row r="241" spans="1:40" hidden="1" x14ac:dyDescent="0.3">
      <c r="A241" s="1">
        <v>26049</v>
      </c>
      <c r="W241" s="1" t="str">
        <f t="shared" si="56"/>
        <v>NON LIVRE</v>
      </c>
      <c r="X241" s="1" t="str">
        <f t="shared" si="57"/>
        <v>NON LIVRE</v>
      </c>
      <c r="Y241" s="1" t="str">
        <f t="shared" si="58"/>
        <v>NON LIVRE</v>
      </c>
      <c r="Z241" s="1" t="str">
        <f t="shared" si="62"/>
        <v>NON LIVRE</v>
      </c>
      <c r="AA241" s="1" t="str">
        <f t="shared" si="59"/>
        <v>NON LIVRE</v>
      </c>
      <c r="AB241" s="1" t="str">
        <f t="shared" si="63"/>
        <v>NON LIVRE</v>
      </c>
      <c r="AC241" s="1" t="str">
        <f t="shared" si="64"/>
        <v>NON LIVRE</v>
      </c>
      <c r="AD241" s="1" t="str">
        <f t="shared" si="60"/>
        <v>NON LIVRE</v>
      </c>
      <c r="AE241" s="1" t="str">
        <f t="shared" si="65"/>
        <v>NON LIVRE</v>
      </c>
      <c r="AF241" s="1" t="str">
        <f t="shared" si="66"/>
        <v>NON LIVRE</v>
      </c>
      <c r="AG241" s="1" t="str">
        <f t="shared" si="67"/>
        <v>NON LIVRE</v>
      </c>
      <c r="AH241" s="1" t="str">
        <f t="shared" si="68"/>
        <v>NON LIVRE</v>
      </c>
      <c r="AI241" s="1" t="str">
        <f t="shared" si="69"/>
        <v>NON LIVRE</v>
      </c>
      <c r="AJ241" s="1" t="str">
        <f t="shared" si="70"/>
        <v>NON LIVRE</v>
      </c>
      <c r="AK241" s="1" t="str">
        <f t="shared" si="73"/>
        <v>NON LIVRE</v>
      </c>
      <c r="AL241" s="1" t="str">
        <f t="shared" si="71"/>
        <v>NON LIVRE</v>
      </c>
      <c r="AM241" s="1" t="str">
        <f t="shared" si="61"/>
        <v>NON LIVRE</v>
      </c>
      <c r="AN241" s="1" t="str">
        <f t="shared" si="72"/>
        <v>NON LIVRE</v>
      </c>
    </row>
    <row r="242" spans="1:40" hidden="1" x14ac:dyDescent="0.3">
      <c r="A242" s="1">
        <v>26050</v>
      </c>
      <c r="W242" s="1" t="str">
        <f t="shared" si="56"/>
        <v>NON LIVRE</v>
      </c>
      <c r="X242" s="1" t="str">
        <f t="shared" si="57"/>
        <v>NON LIVRE</v>
      </c>
      <c r="Y242" s="1" t="str">
        <f t="shared" si="58"/>
        <v>NON LIVRE</v>
      </c>
      <c r="Z242" s="1" t="str">
        <f t="shared" si="62"/>
        <v>NON LIVRE</v>
      </c>
      <c r="AA242" s="1" t="str">
        <f t="shared" si="59"/>
        <v>NON LIVRE</v>
      </c>
      <c r="AB242" s="1" t="str">
        <f t="shared" si="63"/>
        <v>NON LIVRE</v>
      </c>
      <c r="AC242" s="1" t="str">
        <f t="shared" si="64"/>
        <v>NON LIVRE</v>
      </c>
      <c r="AD242" s="1" t="str">
        <f t="shared" si="60"/>
        <v>NON LIVRE</v>
      </c>
      <c r="AE242" s="1" t="str">
        <f t="shared" si="65"/>
        <v>NON LIVRE</v>
      </c>
      <c r="AF242" s="1" t="str">
        <f t="shared" si="66"/>
        <v>NON LIVRE</v>
      </c>
      <c r="AG242" s="1" t="str">
        <f t="shared" si="67"/>
        <v>NON LIVRE</v>
      </c>
      <c r="AH242" s="1" t="str">
        <f t="shared" si="68"/>
        <v>NON LIVRE</v>
      </c>
      <c r="AI242" s="1" t="str">
        <f t="shared" si="69"/>
        <v>NON LIVRE</v>
      </c>
      <c r="AJ242" s="1" t="str">
        <f t="shared" si="70"/>
        <v>NON LIVRE</v>
      </c>
      <c r="AK242" s="1" t="str">
        <f t="shared" si="73"/>
        <v>NON LIVRE</v>
      </c>
      <c r="AL242" s="1" t="str">
        <f t="shared" si="71"/>
        <v>NON LIVRE</v>
      </c>
      <c r="AM242" s="1" t="str">
        <f t="shared" si="61"/>
        <v>NON LIVRE</v>
      </c>
      <c r="AN242" s="1" t="str">
        <f t="shared" si="72"/>
        <v>NON LIVRE</v>
      </c>
    </row>
    <row r="243" spans="1:40" hidden="1" x14ac:dyDescent="0.3">
      <c r="A243" s="1">
        <v>26051</v>
      </c>
      <c r="W243" s="1" t="str">
        <f t="shared" si="56"/>
        <v>NON LIVRE</v>
      </c>
      <c r="X243" s="1" t="str">
        <f t="shared" si="57"/>
        <v>NON LIVRE</v>
      </c>
      <c r="Y243" s="1" t="str">
        <f t="shared" si="58"/>
        <v>NON LIVRE</v>
      </c>
      <c r="Z243" s="1" t="str">
        <f t="shared" si="62"/>
        <v>NON LIVRE</v>
      </c>
      <c r="AA243" s="1" t="str">
        <f t="shared" si="59"/>
        <v>NON LIVRE</v>
      </c>
      <c r="AB243" s="1" t="str">
        <f t="shared" si="63"/>
        <v>NON LIVRE</v>
      </c>
      <c r="AC243" s="1" t="str">
        <f t="shared" si="64"/>
        <v>NON LIVRE</v>
      </c>
      <c r="AD243" s="1" t="str">
        <f t="shared" si="60"/>
        <v>NON LIVRE</v>
      </c>
      <c r="AE243" s="1" t="str">
        <f t="shared" si="65"/>
        <v>NON LIVRE</v>
      </c>
      <c r="AF243" s="1" t="str">
        <f t="shared" si="66"/>
        <v>NON LIVRE</v>
      </c>
      <c r="AG243" s="1" t="str">
        <f t="shared" si="67"/>
        <v>NON LIVRE</v>
      </c>
      <c r="AH243" s="1" t="str">
        <f t="shared" si="68"/>
        <v>NON LIVRE</v>
      </c>
      <c r="AI243" s="1" t="str">
        <f t="shared" si="69"/>
        <v>NON LIVRE</v>
      </c>
      <c r="AJ243" s="1" t="str">
        <f t="shared" si="70"/>
        <v>NON LIVRE</v>
      </c>
      <c r="AK243" s="1" t="str">
        <f t="shared" si="73"/>
        <v>NON LIVRE</v>
      </c>
      <c r="AL243" s="1" t="str">
        <f t="shared" si="71"/>
        <v>NON LIVRE</v>
      </c>
      <c r="AM243" s="1" t="str">
        <f t="shared" si="61"/>
        <v>NON LIVRE</v>
      </c>
      <c r="AN243" s="1" t="str">
        <f t="shared" si="72"/>
        <v>NON LIVRE</v>
      </c>
    </row>
    <row r="244" spans="1:40" hidden="1" x14ac:dyDescent="0.3">
      <c r="A244" s="1">
        <v>26052</v>
      </c>
      <c r="W244" s="1" t="str">
        <f t="shared" si="56"/>
        <v>NON LIVRE</v>
      </c>
      <c r="X244" s="1" t="str">
        <f t="shared" si="57"/>
        <v>NON LIVRE</v>
      </c>
      <c r="Y244" s="1" t="str">
        <f t="shared" si="58"/>
        <v>NON LIVRE</v>
      </c>
      <c r="Z244" s="1" t="str">
        <f t="shared" si="62"/>
        <v>NON LIVRE</v>
      </c>
      <c r="AA244" s="1" t="str">
        <f t="shared" si="59"/>
        <v>NON LIVRE</v>
      </c>
      <c r="AB244" s="1" t="str">
        <f t="shared" si="63"/>
        <v>NON LIVRE</v>
      </c>
      <c r="AC244" s="1" t="str">
        <f t="shared" si="64"/>
        <v>NON LIVRE</v>
      </c>
      <c r="AD244" s="1" t="str">
        <f t="shared" si="60"/>
        <v>NON LIVRE</v>
      </c>
      <c r="AE244" s="1" t="str">
        <f t="shared" si="65"/>
        <v>NON LIVRE</v>
      </c>
      <c r="AF244" s="1" t="str">
        <f t="shared" si="66"/>
        <v>NON LIVRE</v>
      </c>
      <c r="AG244" s="1" t="str">
        <f t="shared" si="67"/>
        <v>NON LIVRE</v>
      </c>
      <c r="AH244" s="1" t="str">
        <f t="shared" si="68"/>
        <v>NON LIVRE</v>
      </c>
      <c r="AI244" s="1" t="str">
        <f t="shared" si="69"/>
        <v>NON LIVRE</v>
      </c>
      <c r="AJ244" s="1" t="str">
        <f t="shared" si="70"/>
        <v>NON LIVRE</v>
      </c>
      <c r="AK244" s="1" t="str">
        <f t="shared" si="73"/>
        <v>NON LIVRE</v>
      </c>
      <c r="AL244" s="1" t="str">
        <f t="shared" si="71"/>
        <v>NON LIVRE</v>
      </c>
      <c r="AM244" s="1" t="str">
        <f t="shared" si="61"/>
        <v>NON LIVRE</v>
      </c>
      <c r="AN244" s="1" t="str">
        <f t="shared" si="72"/>
        <v>NON LIVRE</v>
      </c>
    </row>
    <row r="245" spans="1:40" hidden="1" x14ac:dyDescent="0.3">
      <c r="A245" s="1">
        <v>26053</v>
      </c>
      <c r="W245" s="1" t="str">
        <f t="shared" si="56"/>
        <v>NON LIVRE</v>
      </c>
      <c r="X245" s="1" t="str">
        <f t="shared" si="57"/>
        <v>NON LIVRE</v>
      </c>
      <c r="Y245" s="1" t="str">
        <f t="shared" si="58"/>
        <v>NON LIVRE</v>
      </c>
      <c r="Z245" s="1" t="str">
        <f t="shared" si="62"/>
        <v>NON LIVRE</v>
      </c>
      <c r="AA245" s="1" t="str">
        <f t="shared" si="59"/>
        <v>NON LIVRE</v>
      </c>
      <c r="AB245" s="1" t="str">
        <f t="shared" si="63"/>
        <v>NON LIVRE</v>
      </c>
      <c r="AC245" s="1" t="str">
        <f t="shared" si="64"/>
        <v>NON LIVRE</v>
      </c>
      <c r="AD245" s="1" t="str">
        <f t="shared" si="60"/>
        <v>NON LIVRE</v>
      </c>
      <c r="AE245" s="1" t="str">
        <f t="shared" si="65"/>
        <v>NON LIVRE</v>
      </c>
      <c r="AF245" s="1" t="str">
        <f t="shared" si="66"/>
        <v>NON LIVRE</v>
      </c>
      <c r="AG245" s="1" t="str">
        <f t="shared" si="67"/>
        <v>NON LIVRE</v>
      </c>
      <c r="AH245" s="1" t="str">
        <f t="shared" si="68"/>
        <v>NON LIVRE</v>
      </c>
      <c r="AI245" s="1" t="str">
        <f t="shared" si="69"/>
        <v>NON LIVRE</v>
      </c>
      <c r="AJ245" s="1" t="str">
        <f t="shared" si="70"/>
        <v>NON LIVRE</v>
      </c>
      <c r="AK245" s="1" t="str">
        <f t="shared" si="73"/>
        <v>NON LIVRE</v>
      </c>
      <c r="AL245" s="1" t="str">
        <f t="shared" si="71"/>
        <v>NON LIVRE</v>
      </c>
      <c r="AM245" s="1" t="str">
        <f t="shared" si="61"/>
        <v>NON LIVRE</v>
      </c>
      <c r="AN245" s="1" t="str">
        <f t="shared" si="72"/>
        <v>NON LIVRE</v>
      </c>
    </row>
    <row r="246" spans="1:40" hidden="1" x14ac:dyDescent="0.3">
      <c r="A246" s="1">
        <v>26054</v>
      </c>
      <c r="W246" s="1" t="str">
        <f t="shared" si="56"/>
        <v>NON LIVRE</v>
      </c>
      <c r="X246" s="1" t="str">
        <f t="shared" si="57"/>
        <v>NON LIVRE</v>
      </c>
      <c r="Y246" s="1" t="str">
        <f t="shared" si="58"/>
        <v>NON LIVRE</v>
      </c>
      <c r="Z246" s="1" t="str">
        <f t="shared" si="62"/>
        <v>NON LIVRE</v>
      </c>
      <c r="AA246" s="1" t="str">
        <f t="shared" si="59"/>
        <v>NON LIVRE</v>
      </c>
      <c r="AB246" s="1" t="str">
        <f t="shared" si="63"/>
        <v>NON LIVRE</v>
      </c>
      <c r="AC246" s="1" t="str">
        <f t="shared" si="64"/>
        <v>NON LIVRE</v>
      </c>
      <c r="AD246" s="1" t="str">
        <f t="shared" si="60"/>
        <v>NON LIVRE</v>
      </c>
      <c r="AE246" s="1" t="str">
        <f t="shared" si="65"/>
        <v>NON LIVRE</v>
      </c>
      <c r="AF246" s="1" t="str">
        <f t="shared" si="66"/>
        <v>NON LIVRE</v>
      </c>
      <c r="AG246" s="1" t="str">
        <f t="shared" si="67"/>
        <v>NON LIVRE</v>
      </c>
      <c r="AH246" s="1" t="str">
        <f t="shared" si="68"/>
        <v>NON LIVRE</v>
      </c>
      <c r="AI246" s="1" t="str">
        <f t="shared" si="69"/>
        <v>NON LIVRE</v>
      </c>
      <c r="AJ246" s="1" t="str">
        <f t="shared" si="70"/>
        <v>NON LIVRE</v>
      </c>
      <c r="AK246" s="1" t="str">
        <f t="shared" si="73"/>
        <v>NON LIVRE</v>
      </c>
      <c r="AL246" s="1" t="str">
        <f t="shared" si="71"/>
        <v>NON LIVRE</v>
      </c>
      <c r="AM246" s="1" t="str">
        <f t="shared" si="61"/>
        <v>NON LIVRE</v>
      </c>
      <c r="AN246" s="1" t="str">
        <f t="shared" si="72"/>
        <v>NON LIVRE</v>
      </c>
    </row>
    <row r="247" spans="1:40" hidden="1" x14ac:dyDescent="0.3">
      <c r="A247" s="1">
        <v>26055</v>
      </c>
      <c r="W247" s="1" t="str">
        <f t="shared" si="56"/>
        <v>NON LIVRE</v>
      </c>
      <c r="X247" s="1" t="str">
        <f t="shared" si="57"/>
        <v>NON LIVRE</v>
      </c>
      <c r="Y247" s="1" t="str">
        <f t="shared" si="58"/>
        <v>NON LIVRE</v>
      </c>
      <c r="Z247" s="1" t="str">
        <f t="shared" si="62"/>
        <v>NON LIVRE</v>
      </c>
      <c r="AA247" s="1" t="str">
        <f t="shared" si="59"/>
        <v>NON LIVRE</v>
      </c>
      <c r="AB247" s="1" t="str">
        <f t="shared" si="63"/>
        <v>NON LIVRE</v>
      </c>
      <c r="AC247" s="1" t="str">
        <f t="shared" si="64"/>
        <v>NON LIVRE</v>
      </c>
      <c r="AD247" s="1" t="str">
        <f t="shared" si="60"/>
        <v>NON LIVRE</v>
      </c>
      <c r="AE247" s="1" t="str">
        <f t="shared" si="65"/>
        <v>NON LIVRE</v>
      </c>
      <c r="AF247" s="1" t="str">
        <f t="shared" si="66"/>
        <v>NON LIVRE</v>
      </c>
      <c r="AG247" s="1" t="str">
        <f t="shared" si="67"/>
        <v>NON LIVRE</v>
      </c>
      <c r="AH247" s="1" t="str">
        <f t="shared" si="68"/>
        <v>NON LIVRE</v>
      </c>
      <c r="AI247" s="1" t="str">
        <f t="shared" si="69"/>
        <v>NON LIVRE</v>
      </c>
      <c r="AJ247" s="1" t="str">
        <f t="shared" si="70"/>
        <v>NON LIVRE</v>
      </c>
      <c r="AK247" s="1" t="str">
        <f t="shared" si="73"/>
        <v>NON LIVRE</v>
      </c>
      <c r="AL247" s="1" t="str">
        <f t="shared" si="71"/>
        <v>NON LIVRE</v>
      </c>
      <c r="AM247" s="1" t="str">
        <f t="shared" si="61"/>
        <v>NON LIVRE</v>
      </c>
      <c r="AN247" s="1" t="str">
        <f t="shared" si="72"/>
        <v>NON LIVRE</v>
      </c>
    </row>
    <row r="248" spans="1:40" hidden="1" x14ac:dyDescent="0.3">
      <c r="A248" s="1">
        <v>26056</v>
      </c>
      <c r="W248" s="1" t="str">
        <f t="shared" si="56"/>
        <v>NON LIVRE</v>
      </c>
      <c r="X248" s="1" t="str">
        <f t="shared" si="57"/>
        <v>NON LIVRE</v>
      </c>
      <c r="Y248" s="1" t="str">
        <f t="shared" si="58"/>
        <v>NON LIVRE</v>
      </c>
      <c r="Z248" s="1" t="str">
        <f t="shared" si="62"/>
        <v>NON LIVRE</v>
      </c>
      <c r="AA248" s="1" t="str">
        <f t="shared" si="59"/>
        <v>NON LIVRE</v>
      </c>
      <c r="AB248" s="1" t="str">
        <f t="shared" si="63"/>
        <v>NON LIVRE</v>
      </c>
      <c r="AC248" s="1" t="str">
        <f t="shared" si="64"/>
        <v>NON LIVRE</v>
      </c>
      <c r="AD248" s="1" t="str">
        <f t="shared" si="60"/>
        <v>NON LIVRE</v>
      </c>
      <c r="AE248" s="1" t="str">
        <f t="shared" si="65"/>
        <v>NON LIVRE</v>
      </c>
      <c r="AF248" s="1" t="str">
        <f t="shared" si="66"/>
        <v>NON LIVRE</v>
      </c>
      <c r="AG248" s="1" t="str">
        <f t="shared" si="67"/>
        <v>NON LIVRE</v>
      </c>
      <c r="AH248" s="1" t="str">
        <f t="shared" si="68"/>
        <v>NON LIVRE</v>
      </c>
      <c r="AI248" s="1" t="str">
        <f t="shared" si="69"/>
        <v>NON LIVRE</v>
      </c>
      <c r="AJ248" s="1" t="str">
        <f t="shared" si="70"/>
        <v>NON LIVRE</v>
      </c>
      <c r="AK248" s="1" t="str">
        <f t="shared" si="73"/>
        <v>NON LIVRE</v>
      </c>
      <c r="AL248" s="1" t="str">
        <f t="shared" si="71"/>
        <v>NON LIVRE</v>
      </c>
      <c r="AM248" s="1" t="str">
        <f t="shared" si="61"/>
        <v>NON LIVRE</v>
      </c>
      <c r="AN248" s="1" t="str">
        <f t="shared" si="72"/>
        <v>NON LIVRE</v>
      </c>
    </row>
    <row r="249" spans="1:40" hidden="1" x14ac:dyDescent="0.3">
      <c r="A249" s="1">
        <v>26057</v>
      </c>
      <c r="B249" s="1" t="s">
        <v>73</v>
      </c>
      <c r="C249" s="3" t="s">
        <v>356</v>
      </c>
      <c r="D249" s="4">
        <v>1200</v>
      </c>
      <c r="F249" s="2">
        <v>46086</v>
      </c>
      <c r="G249" s="2">
        <v>46084</v>
      </c>
      <c r="H249" s="2">
        <v>46104</v>
      </c>
      <c r="L249" s="2">
        <v>46091</v>
      </c>
      <c r="N249" s="2">
        <v>46106</v>
      </c>
      <c r="O249" s="2">
        <v>46108</v>
      </c>
      <c r="P249" s="2">
        <v>46142</v>
      </c>
      <c r="Q249" s="2">
        <v>46126</v>
      </c>
      <c r="R249" s="2">
        <v>46126</v>
      </c>
      <c r="S249" s="1">
        <v>1</v>
      </c>
      <c r="W249" s="1">
        <f t="shared" si="56"/>
        <v>28</v>
      </c>
      <c r="X249" s="1">
        <f t="shared" si="57"/>
        <v>28</v>
      </c>
      <c r="Y249" s="1">
        <f t="shared" si="58"/>
        <v>-14</v>
      </c>
      <c r="Z249" s="1">
        <f t="shared" si="62"/>
        <v>14</v>
      </c>
      <c r="AA249" s="1">
        <f t="shared" si="59"/>
        <v>-4</v>
      </c>
      <c r="AB249" s="1">
        <f t="shared" si="63"/>
        <v>14</v>
      </c>
      <c r="AC249" s="1">
        <f t="shared" si="64"/>
        <v>2</v>
      </c>
      <c r="AD249" s="1">
        <f t="shared" si="60"/>
        <v>16</v>
      </c>
      <c r="AE249" s="1">
        <f t="shared" si="65"/>
        <v>3</v>
      </c>
      <c r="AF249" s="1" t="str">
        <f t="shared" si="66"/>
        <v>PAS DE DATE PAPIER</v>
      </c>
      <c r="AG249" s="1" t="str">
        <f t="shared" si="67"/>
        <v>PAS DE DATE CARTON</v>
      </c>
      <c r="AH249" s="1" t="str">
        <f t="shared" si="68"/>
        <v>PAS DE DATE FICHIER</v>
      </c>
      <c r="AI249" s="1" t="str">
        <f t="shared" si="69"/>
        <v>PAS DE DATE VALIDATION MODELE CLIENT</v>
      </c>
      <c r="AJ249" s="1">
        <f t="shared" si="70"/>
        <v>32921</v>
      </c>
      <c r="AK249" s="1">
        <f t="shared" si="73"/>
        <v>13</v>
      </c>
      <c r="AL249" s="1">
        <f t="shared" si="71"/>
        <v>2</v>
      </c>
      <c r="AM249" s="1">
        <f t="shared" si="61"/>
        <v>12</v>
      </c>
      <c r="AN249" s="1">
        <f t="shared" si="72"/>
        <v>0</v>
      </c>
    </row>
    <row r="250" spans="1:40" hidden="1" x14ac:dyDescent="0.3">
      <c r="A250" s="1">
        <v>26058</v>
      </c>
      <c r="W250" s="1" t="str">
        <f t="shared" si="56"/>
        <v>NON LIVRE</v>
      </c>
      <c r="X250" s="1" t="str">
        <f t="shared" si="57"/>
        <v>NON LIVRE</v>
      </c>
      <c r="Y250" s="1" t="str">
        <f t="shared" si="58"/>
        <v>NON LIVRE</v>
      </c>
      <c r="Z250" s="1" t="str">
        <f t="shared" si="62"/>
        <v>NON LIVRE</v>
      </c>
      <c r="AA250" s="1" t="str">
        <f t="shared" si="59"/>
        <v>NON LIVRE</v>
      </c>
      <c r="AB250" s="1" t="str">
        <f t="shared" si="63"/>
        <v>NON LIVRE</v>
      </c>
      <c r="AC250" s="1" t="str">
        <f t="shared" si="64"/>
        <v>NON LIVRE</v>
      </c>
      <c r="AD250" s="1" t="str">
        <f t="shared" si="60"/>
        <v>NON LIVRE</v>
      </c>
      <c r="AE250" s="1" t="str">
        <f t="shared" si="65"/>
        <v>NON LIVRE</v>
      </c>
      <c r="AF250" s="1" t="str">
        <f t="shared" si="66"/>
        <v>NON LIVRE</v>
      </c>
      <c r="AG250" s="1" t="str">
        <f t="shared" si="67"/>
        <v>NON LIVRE</v>
      </c>
      <c r="AH250" s="1" t="str">
        <f t="shared" si="68"/>
        <v>NON LIVRE</v>
      </c>
      <c r="AI250" s="1" t="str">
        <f t="shared" si="69"/>
        <v>NON LIVRE</v>
      </c>
      <c r="AJ250" s="1" t="str">
        <f t="shared" si="70"/>
        <v>NON LIVRE</v>
      </c>
      <c r="AK250" s="1" t="str">
        <f t="shared" si="73"/>
        <v>NON LIVRE</v>
      </c>
      <c r="AL250" s="1" t="str">
        <f t="shared" si="71"/>
        <v>NON LIVRE</v>
      </c>
      <c r="AM250" s="1" t="str">
        <f t="shared" si="61"/>
        <v>NON LIVRE</v>
      </c>
      <c r="AN250" s="1" t="str">
        <f t="shared" si="72"/>
        <v>NON LIVRE</v>
      </c>
    </row>
    <row r="251" spans="1:40" hidden="1" x14ac:dyDescent="0.3">
      <c r="A251" s="1">
        <v>26059</v>
      </c>
      <c r="W251" s="1" t="str">
        <f t="shared" si="56"/>
        <v>NON LIVRE</v>
      </c>
      <c r="X251" s="1" t="str">
        <f t="shared" si="57"/>
        <v>NON LIVRE</v>
      </c>
      <c r="Y251" s="1" t="str">
        <f t="shared" si="58"/>
        <v>NON LIVRE</v>
      </c>
      <c r="Z251" s="1" t="str">
        <f t="shared" si="62"/>
        <v>NON LIVRE</v>
      </c>
      <c r="AA251" s="1" t="str">
        <f t="shared" si="59"/>
        <v>NON LIVRE</v>
      </c>
      <c r="AB251" s="1" t="str">
        <f t="shared" si="63"/>
        <v>NON LIVRE</v>
      </c>
      <c r="AC251" s="1" t="str">
        <f t="shared" si="64"/>
        <v>NON LIVRE</v>
      </c>
      <c r="AD251" s="1" t="str">
        <f t="shared" si="60"/>
        <v>NON LIVRE</v>
      </c>
      <c r="AE251" s="1" t="str">
        <f t="shared" si="65"/>
        <v>NON LIVRE</v>
      </c>
      <c r="AF251" s="1" t="str">
        <f t="shared" si="66"/>
        <v>NON LIVRE</v>
      </c>
      <c r="AG251" s="1" t="str">
        <f t="shared" si="67"/>
        <v>NON LIVRE</v>
      </c>
      <c r="AH251" s="1" t="str">
        <f t="shared" si="68"/>
        <v>NON LIVRE</v>
      </c>
      <c r="AI251" s="1" t="str">
        <f t="shared" si="69"/>
        <v>NON LIVRE</v>
      </c>
      <c r="AJ251" s="1" t="str">
        <f t="shared" si="70"/>
        <v>NON LIVRE</v>
      </c>
      <c r="AK251" s="1" t="str">
        <f t="shared" si="73"/>
        <v>NON LIVRE</v>
      </c>
      <c r="AL251" s="1" t="str">
        <f t="shared" si="71"/>
        <v>NON LIVRE</v>
      </c>
      <c r="AM251" s="1" t="str">
        <f t="shared" si="61"/>
        <v>NON LIVRE</v>
      </c>
      <c r="AN251" s="1" t="str">
        <f t="shared" si="72"/>
        <v>NON LIVRE</v>
      </c>
    </row>
    <row r="252" spans="1:40" hidden="1" x14ac:dyDescent="0.3">
      <c r="A252" s="1">
        <v>26060</v>
      </c>
      <c r="B252" s="1" t="s">
        <v>17</v>
      </c>
      <c r="C252" s="3" t="s">
        <v>344</v>
      </c>
      <c r="D252" s="4">
        <v>4000</v>
      </c>
      <c r="F252" s="2">
        <v>46092</v>
      </c>
      <c r="H252" s="2">
        <v>46108</v>
      </c>
      <c r="I252" s="2">
        <v>46114</v>
      </c>
      <c r="K252" s="2">
        <v>46132</v>
      </c>
      <c r="L252" s="2">
        <v>46135</v>
      </c>
      <c r="M252" s="2">
        <v>46119</v>
      </c>
      <c r="N252" s="2">
        <v>46136</v>
      </c>
      <c r="O252" s="2">
        <v>46135</v>
      </c>
      <c r="P252" s="2">
        <v>46164</v>
      </c>
      <c r="Q252" s="2">
        <v>46164</v>
      </c>
      <c r="R252" s="2">
        <v>46164</v>
      </c>
      <c r="S252" s="1">
        <v>1</v>
      </c>
      <c r="W252" s="1">
        <f t="shared" si="56"/>
        <v>52</v>
      </c>
      <c r="X252" s="1">
        <f t="shared" si="57"/>
        <v>52</v>
      </c>
      <c r="Y252" s="1">
        <f t="shared" si="58"/>
        <v>0</v>
      </c>
      <c r="Z252" s="1">
        <f t="shared" si="62"/>
        <v>32</v>
      </c>
      <c r="AA252" s="1" t="str">
        <f t="shared" si="59"/>
        <v>PAS DE COMMANDE MATIERE</v>
      </c>
      <c r="AB252" s="1">
        <f t="shared" si="63"/>
        <v>32934</v>
      </c>
      <c r="AC252" s="1">
        <f t="shared" si="64"/>
        <v>20</v>
      </c>
      <c r="AD252" s="1">
        <f t="shared" si="60"/>
        <v>31</v>
      </c>
      <c r="AE252" s="1">
        <f t="shared" si="65"/>
        <v>31</v>
      </c>
      <c r="AF252" s="1">
        <f t="shared" si="66"/>
        <v>28</v>
      </c>
      <c r="AG252" s="1">
        <f t="shared" si="67"/>
        <v>19</v>
      </c>
      <c r="AH252" s="1">
        <f t="shared" si="68"/>
        <v>16</v>
      </c>
      <c r="AI252" s="1" t="str">
        <f t="shared" si="69"/>
        <v>PAS DE DATE VALIDATION MODELE CLIENT</v>
      </c>
      <c r="AJ252" s="1">
        <f t="shared" si="70"/>
        <v>15</v>
      </c>
      <c r="AK252" s="1">
        <f t="shared" si="73"/>
        <v>0</v>
      </c>
      <c r="AL252" s="1">
        <f t="shared" si="71"/>
        <v>1</v>
      </c>
      <c r="AM252" s="1">
        <f t="shared" si="61"/>
        <v>20</v>
      </c>
      <c r="AN252" s="1">
        <f t="shared" si="72"/>
        <v>0</v>
      </c>
    </row>
    <row r="253" spans="1:40" hidden="1" x14ac:dyDescent="0.3">
      <c r="A253" s="1">
        <v>26061</v>
      </c>
      <c r="B253" s="1" t="s">
        <v>264</v>
      </c>
      <c r="C253" s="3" t="s">
        <v>357</v>
      </c>
      <c r="D253" s="4">
        <v>3300</v>
      </c>
      <c r="F253" s="2">
        <v>46097</v>
      </c>
      <c r="H253" s="2">
        <v>46107</v>
      </c>
      <c r="N253" s="2">
        <v>46108</v>
      </c>
      <c r="P253" s="2">
        <v>46129</v>
      </c>
      <c r="Q253" s="2">
        <v>46119</v>
      </c>
      <c r="R253" s="2">
        <v>46119</v>
      </c>
      <c r="S253" s="1">
        <v>1</v>
      </c>
      <c r="W253" s="1">
        <f t="shared" si="56"/>
        <v>16</v>
      </c>
      <c r="X253" s="1">
        <f t="shared" si="57"/>
        <v>16</v>
      </c>
      <c r="Y253" s="1">
        <f t="shared" si="58"/>
        <v>-10</v>
      </c>
      <c r="Z253" s="1">
        <f t="shared" si="62"/>
        <v>9</v>
      </c>
      <c r="AA253" s="1" t="str">
        <f t="shared" si="59"/>
        <v>PAS DE COMMANDE MATIERE</v>
      </c>
      <c r="AB253" s="1">
        <f t="shared" si="63"/>
        <v>32933</v>
      </c>
      <c r="AC253" s="1">
        <f t="shared" si="64"/>
        <v>1</v>
      </c>
      <c r="AD253" s="1" t="str">
        <f t="shared" si="60"/>
        <v>PAS DE DEPART TIRAGES OU ACHATS</v>
      </c>
      <c r="AE253" s="1" t="str">
        <f t="shared" si="65"/>
        <v>PAS DE DATE IMPRESSION</v>
      </c>
      <c r="AF253" s="1" t="str">
        <f t="shared" si="66"/>
        <v>PAS DE DATE PAPIER</v>
      </c>
      <c r="AG253" s="1" t="str">
        <f t="shared" si="67"/>
        <v>PAS DE DATE CARTON</v>
      </c>
      <c r="AH253" s="1" t="str">
        <f t="shared" si="68"/>
        <v>PAS DE DATE FICHIER</v>
      </c>
      <c r="AI253" s="1" t="str">
        <f t="shared" si="69"/>
        <v>PAS DE DATE VALIDATION MODELE CLIENT</v>
      </c>
      <c r="AJ253" s="1" t="str">
        <f t="shared" si="70"/>
        <v>PAS DE DATE IMPRESSION</v>
      </c>
      <c r="AK253" s="1" t="str">
        <f t="shared" si="73"/>
        <v>PAS D'IMPRESSION</v>
      </c>
      <c r="AL253" s="1">
        <f t="shared" si="71"/>
        <v>0</v>
      </c>
      <c r="AM253" s="1">
        <f t="shared" si="61"/>
        <v>7</v>
      </c>
      <c r="AN253" s="1" t="str">
        <f t="shared" si="72"/>
        <v>PAS DE DATE VALIDATION MODELE CLIENT</v>
      </c>
    </row>
    <row r="254" spans="1:40" hidden="1" x14ac:dyDescent="0.3">
      <c r="W254" s="1" t="str">
        <f t="shared" si="56"/>
        <v>NON LIVRE</v>
      </c>
      <c r="X254" s="1" t="str">
        <f t="shared" si="57"/>
        <v>NON LIVRE</v>
      </c>
      <c r="Y254" s="1" t="str">
        <f t="shared" si="58"/>
        <v>NON LIVRE</v>
      </c>
      <c r="Z254" s="1" t="str">
        <f t="shared" si="62"/>
        <v>NON LIVRE</v>
      </c>
      <c r="AA254" s="1" t="str">
        <f t="shared" si="59"/>
        <v>NON LIVRE</v>
      </c>
      <c r="AB254" s="1" t="str">
        <f t="shared" si="63"/>
        <v>NON LIVRE</v>
      </c>
      <c r="AC254" s="1" t="str">
        <f t="shared" si="64"/>
        <v>NON LIVRE</v>
      </c>
      <c r="AD254" s="1" t="str">
        <f t="shared" si="60"/>
        <v>NON LIVRE</v>
      </c>
      <c r="AE254" s="1" t="str">
        <f t="shared" si="65"/>
        <v>NON LIVRE</v>
      </c>
      <c r="AF254" s="1" t="str">
        <f t="shared" si="66"/>
        <v>NON LIVRE</v>
      </c>
      <c r="AG254" s="1" t="str">
        <f t="shared" si="67"/>
        <v>NON LIVRE</v>
      </c>
      <c r="AH254" s="1" t="str">
        <f t="shared" si="68"/>
        <v>NON LIVRE</v>
      </c>
      <c r="AI254" s="1" t="str">
        <f t="shared" si="69"/>
        <v>NON LIVRE</v>
      </c>
      <c r="AJ254" s="1" t="str">
        <f t="shared" si="70"/>
        <v>NON LIVRE</v>
      </c>
      <c r="AK254" s="1" t="str">
        <f t="shared" si="73"/>
        <v>NON LIVRE</v>
      </c>
      <c r="AL254" s="1" t="str">
        <f t="shared" si="71"/>
        <v>NON LIVRE</v>
      </c>
      <c r="AM254" s="1" t="str">
        <f t="shared" si="61"/>
        <v>NON LIVRE</v>
      </c>
      <c r="AN254" s="1" t="str">
        <f t="shared" si="72"/>
        <v>NON LIVRE</v>
      </c>
    </row>
  </sheetData>
  <autoFilter ref="A1:AN254" xr:uid="{190F9780-89AB-46EF-A444-DE15B57A012F}">
    <filterColumn colId="0">
      <filters>
        <filter val="25040"/>
      </filters>
    </filterColumn>
  </autoFilter>
  <phoneticPr fontId="2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86EF12-49B5-4966-8B56-D2FBA1216C7F}">
  <dimension ref="A1:D162"/>
  <sheetViews>
    <sheetView workbookViewId="0">
      <selection activeCell="E8" sqref="E8"/>
    </sheetView>
  </sheetViews>
  <sheetFormatPr baseColWidth="10" defaultRowHeight="14.4" x14ac:dyDescent="0.3"/>
  <sheetData>
    <row r="1" spans="1:4" x14ac:dyDescent="0.3">
      <c r="A1" s="11" t="s">
        <v>0</v>
      </c>
      <c r="B1" s="14" t="s">
        <v>375</v>
      </c>
      <c r="C1" s="14" t="s">
        <v>382</v>
      </c>
      <c r="D1" t="s">
        <v>396</v>
      </c>
    </row>
    <row r="2" spans="1:4" x14ac:dyDescent="0.3">
      <c r="A2" s="1">
        <v>25186</v>
      </c>
      <c r="B2" s="2">
        <v>45680</v>
      </c>
      <c r="C2" s="2">
        <v>46073</v>
      </c>
      <c r="D2">
        <f t="shared" ref="D2:D33" si="0">C2-B2</f>
        <v>393</v>
      </c>
    </row>
    <row r="3" spans="1:4" x14ac:dyDescent="0.3">
      <c r="A3" s="1">
        <v>25195</v>
      </c>
      <c r="B3" s="2">
        <v>45666</v>
      </c>
      <c r="C3" s="2">
        <v>46052</v>
      </c>
      <c r="D3">
        <f t="shared" si="0"/>
        <v>386</v>
      </c>
    </row>
    <row r="4" spans="1:4" x14ac:dyDescent="0.3">
      <c r="A4" s="1">
        <v>25192</v>
      </c>
      <c r="B4" s="2">
        <v>45673</v>
      </c>
      <c r="C4" s="2">
        <v>46045</v>
      </c>
      <c r="D4">
        <f t="shared" si="0"/>
        <v>372</v>
      </c>
    </row>
    <row r="5" spans="1:4" x14ac:dyDescent="0.3">
      <c r="A5" s="1">
        <v>25193</v>
      </c>
      <c r="B5" s="2">
        <v>45672</v>
      </c>
      <c r="C5" s="2">
        <v>46038</v>
      </c>
      <c r="D5">
        <f t="shared" si="0"/>
        <v>366</v>
      </c>
    </row>
    <row r="6" spans="1:4" x14ac:dyDescent="0.3">
      <c r="A6" s="1">
        <v>26006</v>
      </c>
      <c r="B6" s="2">
        <v>46087</v>
      </c>
      <c r="C6" s="2">
        <v>46154</v>
      </c>
      <c r="D6">
        <f t="shared" si="0"/>
        <v>67</v>
      </c>
    </row>
    <row r="7" spans="1:4" x14ac:dyDescent="0.3">
      <c r="A7" s="1">
        <v>25162</v>
      </c>
      <c r="B7" s="2">
        <v>45933</v>
      </c>
      <c r="C7" s="2">
        <v>45982</v>
      </c>
      <c r="D7">
        <f t="shared" si="0"/>
        <v>49</v>
      </c>
    </row>
    <row r="8" spans="1:4" x14ac:dyDescent="0.3">
      <c r="A8" s="1">
        <v>25201</v>
      </c>
      <c r="B8" s="2">
        <v>46022</v>
      </c>
      <c r="C8" s="2">
        <v>46045</v>
      </c>
      <c r="D8">
        <f t="shared" si="0"/>
        <v>23</v>
      </c>
    </row>
    <row r="9" spans="1:4" x14ac:dyDescent="0.3">
      <c r="A9" s="1">
        <v>25167</v>
      </c>
      <c r="B9" s="2">
        <v>45968</v>
      </c>
      <c r="C9" s="2">
        <v>45982</v>
      </c>
      <c r="D9">
        <f t="shared" si="0"/>
        <v>14</v>
      </c>
    </row>
    <row r="10" spans="1:4" x14ac:dyDescent="0.3">
      <c r="A10" s="1">
        <v>25184</v>
      </c>
      <c r="B10" s="2">
        <v>46024</v>
      </c>
      <c r="C10" s="2">
        <v>46038</v>
      </c>
      <c r="D10">
        <f t="shared" si="0"/>
        <v>14</v>
      </c>
    </row>
    <row r="11" spans="1:4" x14ac:dyDescent="0.3">
      <c r="A11" s="1">
        <v>26030</v>
      </c>
      <c r="B11" s="2">
        <v>46136</v>
      </c>
      <c r="C11" s="2">
        <v>46150</v>
      </c>
      <c r="D11">
        <f t="shared" si="0"/>
        <v>14</v>
      </c>
    </row>
    <row r="12" spans="1:4" x14ac:dyDescent="0.3">
      <c r="A12" s="1">
        <v>25063</v>
      </c>
      <c r="B12" s="2">
        <v>45947</v>
      </c>
      <c r="C12" s="2">
        <v>45954</v>
      </c>
      <c r="D12">
        <f t="shared" si="0"/>
        <v>7</v>
      </c>
    </row>
    <row r="13" spans="1:4" x14ac:dyDescent="0.3">
      <c r="A13" s="1">
        <v>25072</v>
      </c>
      <c r="B13" s="2">
        <v>45947</v>
      </c>
      <c r="C13" s="2">
        <v>45954</v>
      </c>
      <c r="D13">
        <f t="shared" si="0"/>
        <v>7</v>
      </c>
    </row>
    <row r="14" spans="1:4" x14ac:dyDescent="0.3">
      <c r="A14" s="1">
        <v>25073</v>
      </c>
      <c r="B14" s="2">
        <v>45968</v>
      </c>
      <c r="C14" s="2">
        <v>45975</v>
      </c>
      <c r="D14">
        <f t="shared" si="0"/>
        <v>7</v>
      </c>
    </row>
    <row r="15" spans="1:4" x14ac:dyDescent="0.3">
      <c r="A15" s="1">
        <v>25075</v>
      </c>
      <c r="B15" s="2">
        <v>45920</v>
      </c>
      <c r="C15" s="2">
        <v>45927</v>
      </c>
      <c r="D15">
        <f t="shared" si="0"/>
        <v>7</v>
      </c>
    </row>
    <row r="16" spans="1:4" x14ac:dyDescent="0.3">
      <c r="A16" s="1">
        <v>25093</v>
      </c>
      <c r="B16" s="2">
        <v>45933</v>
      </c>
      <c r="C16" s="2">
        <v>45940</v>
      </c>
      <c r="D16">
        <f t="shared" si="0"/>
        <v>7</v>
      </c>
    </row>
    <row r="17" spans="1:4" x14ac:dyDescent="0.3">
      <c r="A17" s="1">
        <v>25104</v>
      </c>
      <c r="B17" s="2">
        <v>45891</v>
      </c>
      <c r="C17" s="2">
        <v>45898</v>
      </c>
      <c r="D17">
        <f t="shared" si="0"/>
        <v>7</v>
      </c>
    </row>
    <row r="18" spans="1:4" x14ac:dyDescent="0.3">
      <c r="A18" s="1">
        <v>25142</v>
      </c>
      <c r="B18" s="2">
        <v>45961</v>
      </c>
      <c r="C18" s="2">
        <v>45968</v>
      </c>
      <c r="D18">
        <f t="shared" si="0"/>
        <v>7</v>
      </c>
    </row>
    <row r="19" spans="1:4" x14ac:dyDescent="0.3">
      <c r="A19" s="1">
        <v>25163</v>
      </c>
      <c r="B19" s="2">
        <v>45989</v>
      </c>
      <c r="C19" s="2">
        <v>45996</v>
      </c>
      <c r="D19">
        <f t="shared" si="0"/>
        <v>7</v>
      </c>
    </row>
    <row r="20" spans="1:4" x14ac:dyDescent="0.3">
      <c r="A20" s="1">
        <v>25180</v>
      </c>
      <c r="B20" s="2">
        <v>46045</v>
      </c>
      <c r="C20" s="2">
        <v>46052</v>
      </c>
      <c r="D20">
        <f t="shared" si="0"/>
        <v>7</v>
      </c>
    </row>
    <row r="21" spans="1:4" x14ac:dyDescent="0.3">
      <c r="A21" s="1">
        <v>25183</v>
      </c>
      <c r="B21" s="2">
        <v>46024</v>
      </c>
      <c r="C21" s="2">
        <v>46031</v>
      </c>
      <c r="D21">
        <f t="shared" si="0"/>
        <v>7</v>
      </c>
    </row>
    <row r="22" spans="1:4" x14ac:dyDescent="0.3">
      <c r="A22" s="1">
        <v>25197</v>
      </c>
      <c r="B22" s="2">
        <v>46108</v>
      </c>
      <c r="C22" s="2">
        <v>46115</v>
      </c>
      <c r="D22">
        <f t="shared" si="0"/>
        <v>7</v>
      </c>
    </row>
    <row r="23" spans="1:4" x14ac:dyDescent="0.3">
      <c r="A23" s="1">
        <v>25199</v>
      </c>
      <c r="B23" s="2">
        <v>46087</v>
      </c>
      <c r="C23" s="2">
        <v>46094</v>
      </c>
      <c r="D23">
        <f t="shared" si="0"/>
        <v>7</v>
      </c>
    </row>
    <row r="24" spans="1:4" x14ac:dyDescent="0.3">
      <c r="A24" s="1">
        <v>25229</v>
      </c>
      <c r="B24" s="2">
        <v>46052</v>
      </c>
      <c r="C24" s="2">
        <v>46059</v>
      </c>
      <c r="D24">
        <f t="shared" si="0"/>
        <v>7</v>
      </c>
    </row>
    <row r="25" spans="1:4" x14ac:dyDescent="0.3">
      <c r="A25" s="1">
        <v>25236</v>
      </c>
      <c r="B25" s="2">
        <v>46122</v>
      </c>
      <c r="C25" s="2">
        <v>46129</v>
      </c>
      <c r="D25">
        <f t="shared" si="0"/>
        <v>7</v>
      </c>
    </row>
    <row r="26" spans="1:4" x14ac:dyDescent="0.3">
      <c r="A26" s="1">
        <v>25253</v>
      </c>
      <c r="B26" s="2">
        <v>46094</v>
      </c>
      <c r="C26" s="2">
        <v>46101</v>
      </c>
      <c r="D26">
        <f t="shared" si="0"/>
        <v>7</v>
      </c>
    </row>
    <row r="27" spans="1:4" x14ac:dyDescent="0.3">
      <c r="A27" s="1">
        <v>26034</v>
      </c>
      <c r="B27" s="2">
        <v>46164</v>
      </c>
      <c r="C27" s="2">
        <v>46171</v>
      </c>
      <c r="D27">
        <f t="shared" si="0"/>
        <v>7</v>
      </c>
    </row>
    <row r="28" spans="1:4" x14ac:dyDescent="0.3">
      <c r="A28" s="1">
        <v>25196</v>
      </c>
      <c r="B28" s="2">
        <v>46017</v>
      </c>
      <c r="C28" s="2">
        <v>46021</v>
      </c>
      <c r="D28">
        <f t="shared" si="0"/>
        <v>4</v>
      </c>
    </row>
    <row r="29" spans="1:4" x14ac:dyDescent="0.3">
      <c r="A29" s="1">
        <v>26003</v>
      </c>
      <c r="B29" s="2">
        <v>46079</v>
      </c>
      <c r="C29" s="2">
        <v>46080</v>
      </c>
      <c r="D29">
        <f t="shared" si="0"/>
        <v>1</v>
      </c>
    </row>
    <row r="30" spans="1:4" x14ac:dyDescent="0.3">
      <c r="A30" s="1">
        <v>24168</v>
      </c>
      <c r="B30" s="2">
        <v>46003</v>
      </c>
      <c r="C30" s="2">
        <v>46003</v>
      </c>
      <c r="D30">
        <f t="shared" si="0"/>
        <v>0</v>
      </c>
    </row>
    <row r="31" spans="1:4" x14ac:dyDescent="0.3">
      <c r="A31" s="1">
        <v>25022</v>
      </c>
      <c r="B31" s="2">
        <v>45891</v>
      </c>
      <c r="C31" s="2">
        <v>45891</v>
      </c>
      <c r="D31">
        <f t="shared" si="0"/>
        <v>0</v>
      </c>
    </row>
    <row r="32" spans="1:4" x14ac:dyDescent="0.3">
      <c r="A32" s="1">
        <v>25030</v>
      </c>
      <c r="B32" s="2">
        <v>45912</v>
      </c>
      <c r="C32" s="2">
        <v>45912</v>
      </c>
      <c r="D32">
        <f t="shared" si="0"/>
        <v>0</v>
      </c>
    </row>
    <row r="33" spans="1:4" x14ac:dyDescent="0.3">
      <c r="A33" s="1">
        <v>25031</v>
      </c>
      <c r="B33" s="2">
        <v>45863</v>
      </c>
      <c r="C33" s="2">
        <v>45863</v>
      </c>
      <c r="D33">
        <f t="shared" si="0"/>
        <v>0</v>
      </c>
    </row>
    <row r="34" spans="1:4" x14ac:dyDescent="0.3">
      <c r="A34" s="1">
        <v>25032</v>
      </c>
      <c r="B34" s="2">
        <v>45926</v>
      </c>
      <c r="C34" s="2">
        <v>45926</v>
      </c>
      <c r="D34">
        <f t="shared" ref="D34:D65" si="1">C34-B34</f>
        <v>0</v>
      </c>
    </row>
    <row r="35" spans="1:4" x14ac:dyDescent="0.3">
      <c r="A35" s="1">
        <v>25034</v>
      </c>
      <c r="B35" s="2">
        <v>45926</v>
      </c>
      <c r="C35" s="2">
        <v>45926</v>
      </c>
      <c r="D35">
        <f t="shared" si="1"/>
        <v>0</v>
      </c>
    </row>
    <row r="36" spans="1:4" x14ac:dyDescent="0.3">
      <c r="A36" s="1">
        <v>25037</v>
      </c>
      <c r="B36" s="2">
        <v>45898</v>
      </c>
      <c r="C36" s="2">
        <v>45898</v>
      </c>
      <c r="D36">
        <f t="shared" si="1"/>
        <v>0</v>
      </c>
    </row>
    <row r="37" spans="1:4" x14ac:dyDescent="0.3">
      <c r="A37" s="1">
        <v>25040</v>
      </c>
      <c r="B37" s="2">
        <v>45856</v>
      </c>
      <c r="C37" s="2">
        <v>45856</v>
      </c>
      <c r="D37">
        <f t="shared" si="1"/>
        <v>0</v>
      </c>
    </row>
    <row r="38" spans="1:4" x14ac:dyDescent="0.3">
      <c r="A38" s="1">
        <v>25056</v>
      </c>
      <c r="B38" s="2">
        <v>45821</v>
      </c>
      <c r="C38" s="2">
        <v>45821</v>
      </c>
      <c r="D38">
        <f t="shared" si="1"/>
        <v>0</v>
      </c>
    </row>
    <row r="39" spans="1:4" x14ac:dyDescent="0.3">
      <c r="A39" s="1">
        <v>25066</v>
      </c>
      <c r="B39" s="2">
        <v>45849</v>
      </c>
      <c r="C39" s="2">
        <v>45849</v>
      </c>
      <c r="D39">
        <f t="shared" si="1"/>
        <v>0</v>
      </c>
    </row>
    <row r="40" spans="1:4" x14ac:dyDescent="0.3">
      <c r="A40" s="1">
        <v>25072</v>
      </c>
      <c r="B40" s="2">
        <v>45947</v>
      </c>
      <c r="C40" s="2">
        <v>45947</v>
      </c>
      <c r="D40">
        <f t="shared" si="1"/>
        <v>0</v>
      </c>
    </row>
    <row r="41" spans="1:4" x14ac:dyDescent="0.3">
      <c r="A41" s="1">
        <v>25072</v>
      </c>
      <c r="B41" s="2">
        <v>45947</v>
      </c>
      <c r="C41" s="2">
        <v>45947</v>
      </c>
      <c r="D41">
        <f t="shared" si="1"/>
        <v>0</v>
      </c>
    </row>
    <row r="42" spans="1:4" x14ac:dyDescent="0.3">
      <c r="A42" s="1">
        <v>25073</v>
      </c>
      <c r="B42" s="2">
        <v>45975</v>
      </c>
      <c r="C42" s="2">
        <v>45975</v>
      </c>
      <c r="D42">
        <f t="shared" si="1"/>
        <v>0</v>
      </c>
    </row>
    <row r="43" spans="1:4" x14ac:dyDescent="0.3">
      <c r="A43" s="1">
        <v>25086</v>
      </c>
      <c r="B43" s="2">
        <v>45919</v>
      </c>
      <c r="C43" s="2">
        <v>45919</v>
      </c>
      <c r="D43">
        <f t="shared" si="1"/>
        <v>0</v>
      </c>
    </row>
    <row r="44" spans="1:4" x14ac:dyDescent="0.3">
      <c r="A44" s="1">
        <v>25089</v>
      </c>
      <c r="B44" s="2">
        <v>45919</v>
      </c>
      <c r="C44" s="2">
        <v>45919</v>
      </c>
      <c r="D44">
        <f t="shared" si="1"/>
        <v>0</v>
      </c>
    </row>
    <row r="45" spans="1:4" x14ac:dyDescent="0.3">
      <c r="A45" s="1">
        <v>25091</v>
      </c>
      <c r="B45" s="2">
        <v>46010</v>
      </c>
      <c r="C45" s="2">
        <v>46010</v>
      </c>
      <c r="D45">
        <f t="shared" si="1"/>
        <v>0</v>
      </c>
    </row>
    <row r="46" spans="1:4" x14ac:dyDescent="0.3">
      <c r="A46" s="1">
        <v>25091</v>
      </c>
      <c r="B46" s="2">
        <v>46003</v>
      </c>
      <c r="C46" s="2">
        <v>46003</v>
      </c>
      <c r="D46">
        <f t="shared" si="1"/>
        <v>0</v>
      </c>
    </row>
    <row r="47" spans="1:4" x14ac:dyDescent="0.3">
      <c r="A47" s="1">
        <v>25092</v>
      </c>
      <c r="B47" s="2">
        <v>46045</v>
      </c>
      <c r="C47" s="2">
        <v>46045</v>
      </c>
      <c r="D47">
        <f t="shared" si="1"/>
        <v>0</v>
      </c>
    </row>
    <row r="48" spans="1:4" x14ac:dyDescent="0.3">
      <c r="A48" s="1">
        <v>25100</v>
      </c>
      <c r="B48" s="2">
        <v>45905</v>
      </c>
      <c r="C48" s="2">
        <v>45905</v>
      </c>
      <c r="D48">
        <f t="shared" si="1"/>
        <v>0</v>
      </c>
    </row>
    <row r="49" spans="1:4" x14ac:dyDescent="0.3">
      <c r="A49" s="1">
        <v>25103</v>
      </c>
      <c r="B49" s="2">
        <v>45898</v>
      </c>
      <c r="C49" s="2">
        <v>45898</v>
      </c>
      <c r="D49">
        <f t="shared" si="1"/>
        <v>0</v>
      </c>
    </row>
    <row r="50" spans="1:4" x14ac:dyDescent="0.3">
      <c r="A50" s="1">
        <v>25109</v>
      </c>
      <c r="B50" s="2">
        <v>45926</v>
      </c>
      <c r="C50" s="2">
        <v>45926</v>
      </c>
      <c r="D50">
        <f t="shared" si="1"/>
        <v>0</v>
      </c>
    </row>
    <row r="51" spans="1:4" x14ac:dyDescent="0.3">
      <c r="A51" s="1">
        <v>25110</v>
      </c>
      <c r="B51" s="2">
        <v>45933</v>
      </c>
      <c r="C51" s="2">
        <v>45933</v>
      </c>
      <c r="D51">
        <f t="shared" si="1"/>
        <v>0</v>
      </c>
    </row>
    <row r="52" spans="1:4" x14ac:dyDescent="0.3">
      <c r="A52" s="1">
        <v>25114</v>
      </c>
      <c r="B52" s="2">
        <v>45919</v>
      </c>
      <c r="C52" s="2">
        <v>45919</v>
      </c>
      <c r="D52">
        <f t="shared" si="1"/>
        <v>0</v>
      </c>
    </row>
    <row r="53" spans="1:4" x14ac:dyDescent="0.3">
      <c r="A53" s="1">
        <v>25115</v>
      </c>
      <c r="B53" s="2">
        <v>46080</v>
      </c>
      <c r="C53" s="2">
        <v>46080</v>
      </c>
      <c r="D53">
        <f t="shared" si="1"/>
        <v>0</v>
      </c>
    </row>
    <row r="54" spans="1:4" x14ac:dyDescent="0.3">
      <c r="A54" s="1">
        <v>25117</v>
      </c>
      <c r="B54" s="2">
        <v>45919</v>
      </c>
      <c r="C54" s="2">
        <v>45919</v>
      </c>
      <c r="D54">
        <f t="shared" si="1"/>
        <v>0</v>
      </c>
    </row>
    <row r="55" spans="1:4" x14ac:dyDescent="0.3">
      <c r="A55" s="1">
        <v>25121</v>
      </c>
      <c r="B55" s="2">
        <v>45954</v>
      </c>
      <c r="C55" s="2">
        <v>45954</v>
      </c>
      <c r="D55">
        <f t="shared" si="1"/>
        <v>0</v>
      </c>
    </row>
    <row r="56" spans="1:4" x14ac:dyDescent="0.3">
      <c r="A56" s="1">
        <v>25122</v>
      </c>
      <c r="B56" s="2">
        <v>45898</v>
      </c>
      <c r="C56" s="2">
        <v>45898</v>
      </c>
      <c r="D56">
        <f t="shared" si="1"/>
        <v>0</v>
      </c>
    </row>
    <row r="57" spans="1:4" x14ac:dyDescent="0.3">
      <c r="A57" s="1">
        <v>25123</v>
      </c>
      <c r="B57" s="2">
        <v>45919</v>
      </c>
      <c r="C57" s="2">
        <v>45919</v>
      </c>
      <c r="D57">
        <f t="shared" si="1"/>
        <v>0</v>
      </c>
    </row>
    <row r="58" spans="1:4" x14ac:dyDescent="0.3">
      <c r="A58" s="1">
        <v>25124</v>
      </c>
      <c r="B58" s="2">
        <v>45933</v>
      </c>
      <c r="C58" s="2">
        <v>45933</v>
      </c>
      <c r="D58">
        <f t="shared" si="1"/>
        <v>0</v>
      </c>
    </row>
    <row r="59" spans="1:4" x14ac:dyDescent="0.3">
      <c r="A59" s="1">
        <v>25124</v>
      </c>
      <c r="B59" s="2">
        <v>45926</v>
      </c>
      <c r="C59" s="2">
        <v>45926</v>
      </c>
      <c r="D59">
        <f t="shared" si="1"/>
        <v>0</v>
      </c>
    </row>
    <row r="60" spans="1:4" x14ac:dyDescent="0.3">
      <c r="A60" s="1">
        <v>25125</v>
      </c>
      <c r="B60" s="2">
        <v>45954</v>
      </c>
      <c r="C60" s="2">
        <v>45954</v>
      </c>
      <c r="D60">
        <f t="shared" si="1"/>
        <v>0</v>
      </c>
    </row>
    <row r="61" spans="1:4" x14ac:dyDescent="0.3">
      <c r="A61" s="1">
        <v>25128</v>
      </c>
      <c r="B61" s="2">
        <v>45919</v>
      </c>
      <c r="C61" s="2">
        <v>45919</v>
      </c>
      <c r="D61">
        <f t="shared" si="1"/>
        <v>0</v>
      </c>
    </row>
    <row r="62" spans="1:4" x14ac:dyDescent="0.3">
      <c r="A62" s="1">
        <v>25128</v>
      </c>
      <c r="B62" s="2">
        <v>45919</v>
      </c>
      <c r="C62" s="2">
        <v>45919</v>
      </c>
      <c r="D62">
        <f t="shared" si="1"/>
        <v>0</v>
      </c>
    </row>
    <row r="63" spans="1:4" x14ac:dyDescent="0.3">
      <c r="A63" s="1">
        <v>25129</v>
      </c>
      <c r="B63" s="2">
        <v>45926</v>
      </c>
      <c r="C63" s="2">
        <v>45926</v>
      </c>
      <c r="D63">
        <f t="shared" si="1"/>
        <v>0</v>
      </c>
    </row>
    <row r="64" spans="1:4" x14ac:dyDescent="0.3">
      <c r="A64" s="1">
        <v>25132</v>
      </c>
      <c r="B64" s="2">
        <v>45947</v>
      </c>
      <c r="C64" s="2">
        <v>45947</v>
      </c>
      <c r="D64">
        <f t="shared" si="1"/>
        <v>0</v>
      </c>
    </row>
    <row r="65" spans="1:4" x14ac:dyDescent="0.3">
      <c r="A65" s="1">
        <v>25133</v>
      </c>
      <c r="B65" s="2">
        <v>46094</v>
      </c>
      <c r="C65" s="2">
        <v>46094</v>
      </c>
      <c r="D65">
        <f t="shared" si="1"/>
        <v>0</v>
      </c>
    </row>
    <row r="66" spans="1:4" x14ac:dyDescent="0.3">
      <c r="A66" s="1">
        <v>25135</v>
      </c>
      <c r="B66" s="2">
        <v>45954</v>
      </c>
      <c r="C66" s="2">
        <v>45954</v>
      </c>
      <c r="D66">
        <f t="shared" ref="D66:D97" si="2">C66-B66</f>
        <v>0</v>
      </c>
    </row>
    <row r="67" spans="1:4" x14ac:dyDescent="0.3">
      <c r="A67" s="1">
        <v>25135</v>
      </c>
      <c r="B67" s="2">
        <v>45954</v>
      </c>
      <c r="C67" s="2">
        <v>45954</v>
      </c>
      <c r="D67">
        <f t="shared" si="2"/>
        <v>0</v>
      </c>
    </row>
    <row r="68" spans="1:4" x14ac:dyDescent="0.3">
      <c r="A68" s="1">
        <v>25136</v>
      </c>
      <c r="B68" s="2">
        <v>45912</v>
      </c>
      <c r="C68" s="2">
        <v>45912</v>
      </c>
      <c r="D68">
        <f t="shared" si="2"/>
        <v>0</v>
      </c>
    </row>
    <row r="69" spans="1:4" x14ac:dyDescent="0.3">
      <c r="A69" s="1">
        <v>25137</v>
      </c>
      <c r="B69" s="2">
        <v>45954</v>
      </c>
      <c r="C69" s="2">
        <v>45954</v>
      </c>
      <c r="D69">
        <f t="shared" si="2"/>
        <v>0</v>
      </c>
    </row>
    <row r="70" spans="1:4" x14ac:dyDescent="0.3">
      <c r="A70" s="1">
        <v>25138</v>
      </c>
      <c r="B70" s="2">
        <v>45912</v>
      </c>
      <c r="C70" s="2">
        <v>45912</v>
      </c>
      <c r="D70">
        <f t="shared" si="2"/>
        <v>0</v>
      </c>
    </row>
    <row r="71" spans="1:4" x14ac:dyDescent="0.3">
      <c r="A71" s="1">
        <v>25138</v>
      </c>
      <c r="B71" s="2">
        <v>45912</v>
      </c>
      <c r="C71" s="2">
        <v>45912</v>
      </c>
      <c r="D71">
        <f t="shared" si="2"/>
        <v>0</v>
      </c>
    </row>
    <row r="72" spans="1:4" x14ac:dyDescent="0.3">
      <c r="A72" s="1">
        <v>25140</v>
      </c>
      <c r="B72" s="2">
        <v>45926</v>
      </c>
      <c r="C72" s="2">
        <v>45926</v>
      </c>
      <c r="D72">
        <f t="shared" si="2"/>
        <v>0</v>
      </c>
    </row>
    <row r="73" spans="1:4" x14ac:dyDescent="0.3">
      <c r="A73" s="1">
        <v>25143</v>
      </c>
      <c r="B73" s="2">
        <v>45947</v>
      </c>
      <c r="C73" s="2">
        <v>45947</v>
      </c>
      <c r="D73">
        <f t="shared" si="2"/>
        <v>0</v>
      </c>
    </row>
    <row r="74" spans="1:4" x14ac:dyDescent="0.3">
      <c r="A74" s="1">
        <v>25144</v>
      </c>
      <c r="B74" s="2">
        <v>45933</v>
      </c>
      <c r="C74" s="2">
        <v>45933</v>
      </c>
      <c r="D74">
        <f t="shared" si="2"/>
        <v>0</v>
      </c>
    </row>
    <row r="75" spans="1:4" x14ac:dyDescent="0.3">
      <c r="A75" s="1">
        <v>25145</v>
      </c>
      <c r="B75" s="2">
        <v>46101</v>
      </c>
      <c r="C75" s="2">
        <v>46101</v>
      </c>
      <c r="D75">
        <f t="shared" si="2"/>
        <v>0</v>
      </c>
    </row>
    <row r="76" spans="1:4" x14ac:dyDescent="0.3">
      <c r="A76" s="1">
        <v>25145</v>
      </c>
      <c r="B76" s="2">
        <v>46101</v>
      </c>
      <c r="C76" s="2">
        <v>46101</v>
      </c>
      <c r="D76">
        <f t="shared" si="2"/>
        <v>0</v>
      </c>
    </row>
    <row r="77" spans="1:4" x14ac:dyDescent="0.3">
      <c r="A77" s="1">
        <v>25146</v>
      </c>
      <c r="B77" s="2">
        <v>45940</v>
      </c>
      <c r="C77" s="2">
        <v>45940</v>
      </c>
      <c r="D77">
        <f t="shared" si="2"/>
        <v>0</v>
      </c>
    </row>
    <row r="78" spans="1:4" x14ac:dyDescent="0.3">
      <c r="A78" s="1">
        <v>25147</v>
      </c>
      <c r="B78" s="2">
        <v>45961</v>
      </c>
      <c r="C78" s="2">
        <v>45961</v>
      </c>
      <c r="D78">
        <f t="shared" si="2"/>
        <v>0</v>
      </c>
    </row>
    <row r="79" spans="1:4" x14ac:dyDescent="0.3">
      <c r="A79" s="1">
        <v>25147</v>
      </c>
      <c r="B79" s="2">
        <v>45961</v>
      </c>
      <c r="C79" s="2">
        <v>45961</v>
      </c>
      <c r="D79">
        <f t="shared" si="2"/>
        <v>0</v>
      </c>
    </row>
    <row r="80" spans="1:4" x14ac:dyDescent="0.3">
      <c r="A80" s="1">
        <v>25147</v>
      </c>
      <c r="B80" s="2">
        <v>45954</v>
      </c>
      <c r="C80" s="2">
        <v>45954</v>
      </c>
      <c r="D80">
        <f t="shared" si="2"/>
        <v>0</v>
      </c>
    </row>
    <row r="81" spans="1:4" x14ac:dyDescent="0.3">
      <c r="A81" s="1">
        <v>25147</v>
      </c>
      <c r="B81" s="2">
        <v>45961</v>
      </c>
      <c r="C81" s="2">
        <v>45961</v>
      </c>
      <c r="D81">
        <f t="shared" si="2"/>
        <v>0</v>
      </c>
    </row>
    <row r="82" spans="1:4" x14ac:dyDescent="0.3">
      <c r="A82" s="1">
        <v>25150</v>
      </c>
      <c r="B82" s="2">
        <v>45940</v>
      </c>
      <c r="C82" s="2">
        <v>45940</v>
      </c>
      <c r="D82">
        <f t="shared" si="2"/>
        <v>0</v>
      </c>
    </row>
    <row r="83" spans="1:4" x14ac:dyDescent="0.3">
      <c r="A83" s="1">
        <v>25151</v>
      </c>
      <c r="B83" s="2">
        <v>45996</v>
      </c>
      <c r="C83" s="2">
        <v>45996</v>
      </c>
      <c r="D83">
        <f t="shared" si="2"/>
        <v>0</v>
      </c>
    </row>
    <row r="84" spans="1:4" x14ac:dyDescent="0.3">
      <c r="A84" s="1">
        <v>25152</v>
      </c>
      <c r="B84" s="2">
        <v>45989</v>
      </c>
      <c r="C84" s="2">
        <v>45989</v>
      </c>
      <c r="D84">
        <f t="shared" si="2"/>
        <v>0</v>
      </c>
    </row>
    <row r="85" spans="1:4" x14ac:dyDescent="0.3">
      <c r="A85" s="1">
        <v>25154</v>
      </c>
      <c r="B85" s="2">
        <v>45989</v>
      </c>
      <c r="C85" s="2">
        <v>45989</v>
      </c>
      <c r="D85">
        <f t="shared" si="2"/>
        <v>0</v>
      </c>
    </row>
    <row r="86" spans="1:4" x14ac:dyDescent="0.3">
      <c r="A86" s="1">
        <v>25155</v>
      </c>
      <c r="B86" s="2">
        <v>45940</v>
      </c>
      <c r="C86" s="2">
        <v>45940</v>
      </c>
      <c r="D86">
        <f t="shared" si="2"/>
        <v>0</v>
      </c>
    </row>
    <row r="87" spans="1:4" x14ac:dyDescent="0.3">
      <c r="A87" s="1">
        <v>25156</v>
      </c>
      <c r="B87" s="2">
        <v>46038</v>
      </c>
      <c r="C87" s="2">
        <v>46038</v>
      </c>
      <c r="D87">
        <f t="shared" si="2"/>
        <v>0</v>
      </c>
    </row>
    <row r="88" spans="1:4" x14ac:dyDescent="0.3">
      <c r="A88" s="1">
        <v>25157</v>
      </c>
      <c r="B88" s="2">
        <v>45982</v>
      </c>
      <c r="C88" s="2">
        <v>45982</v>
      </c>
      <c r="D88">
        <f t="shared" si="2"/>
        <v>0</v>
      </c>
    </row>
    <row r="89" spans="1:4" x14ac:dyDescent="0.3">
      <c r="A89" s="1">
        <v>25158</v>
      </c>
      <c r="B89" s="2">
        <v>45996</v>
      </c>
      <c r="C89" s="2">
        <v>45996</v>
      </c>
      <c r="D89">
        <f t="shared" si="2"/>
        <v>0</v>
      </c>
    </row>
    <row r="90" spans="1:4" x14ac:dyDescent="0.3">
      <c r="A90" s="1">
        <v>25159</v>
      </c>
      <c r="B90" s="2">
        <v>45933</v>
      </c>
      <c r="C90" s="2">
        <v>45933</v>
      </c>
      <c r="D90">
        <f t="shared" si="2"/>
        <v>0</v>
      </c>
    </row>
    <row r="91" spans="1:4" x14ac:dyDescent="0.3">
      <c r="A91" s="1">
        <v>25160</v>
      </c>
      <c r="B91" s="2">
        <v>45961</v>
      </c>
      <c r="C91" s="2">
        <v>45961</v>
      </c>
      <c r="D91">
        <f t="shared" si="2"/>
        <v>0</v>
      </c>
    </row>
    <row r="92" spans="1:4" x14ac:dyDescent="0.3">
      <c r="A92" s="1">
        <v>25161</v>
      </c>
      <c r="B92" s="2">
        <v>45933</v>
      </c>
      <c r="C92" s="2">
        <v>45933</v>
      </c>
      <c r="D92">
        <f t="shared" si="2"/>
        <v>0</v>
      </c>
    </row>
    <row r="93" spans="1:4" x14ac:dyDescent="0.3">
      <c r="A93" s="1">
        <v>25165</v>
      </c>
      <c r="B93" s="2">
        <v>45982</v>
      </c>
      <c r="C93" s="2">
        <v>45982</v>
      </c>
      <c r="D93">
        <f t="shared" si="2"/>
        <v>0</v>
      </c>
    </row>
    <row r="94" spans="1:4" x14ac:dyDescent="0.3">
      <c r="A94" s="1">
        <v>25166</v>
      </c>
      <c r="B94" s="2">
        <v>46045</v>
      </c>
      <c r="C94" s="2">
        <v>46045</v>
      </c>
      <c r="D94">
        <f t="shared" si="2"/>
        <v>0</v>
      </c>
    </row>
    <row r="95" spans="1:4" x14ac:dyDescent="0.3">
      <c r="A95" s="1">
        <v>25168</v>
      </c>
      <c r="B95" s="2">
        <v>46080</v>
      </c>
      <c r="C95" s="2">
        <v>46080</v>
      </c>
      <c r="D95">
        <f t="shared" si="2"/>
        <v>0</v>
      </c>
    </row>
    <row r="96" spans="1:4" x14ac:dyDescent="0.3">
      <c r="A96" s="1">
        <v>25169</v>
      </c>
      <c r="B96" s="2">
        <v>45989</v>
      </c>
      <c r="C96" s="2">
        <v>45989</v>
      </c>
      <c r="D96">
        <f t="shared" si="2"/>
        <v>0</v>
      </c>
    </row>
    <row r="97" spans="1:4" x14ac:dyDescent="0.3">
      <c r="A97" s="1">
        <v>25170</v>
      </c>
      <c r="B97" s="2">
        <v>45982</v>
      </c>
      <c r="C97" s="2">
        <v>45982</v>
      </c>
      <c r="D97">
        <f t="shared" si="2"/>
        <v>0</v>
      </c>
    </row>
    <row r="98" spans="1:4" x14ac:dyDescent="0.3">
      <c r="A98" s="1">
        <v>25171</v>
      </c>
      <c r="B98" s="2">
        <v>45982</v>
      </c>
      <c r="C98" s="2">
        <v>45982</v>
      </c>
      <c r="D98">
        <f t="shared" ref="D98:D129" si="3">C98-B98</f>
        <v>0</v>
      </c>
    </row>
    <row r="99" spans="1:4" x14ac:dyDescent="0.3">
      <c r="A99" s="1">
        <v>25172</v>
      </c>
      <c r="B99" s="2">
        <v>45996</v>
      </c>
      <c r="C99" s="2">
        <v>45996</v>
      </c>
      <c r="D99">
        <f t="shared" si="3"/>
        <v>0</v>
      </c>
    </row>
    <row r="100" spans="1:4" x14ac:dyDescent="0.3">
      <c r="A100" s="1">
        <v>25173</v>
      </c>
      <c r="B100" s="2">
        <v>45975</v>
      </c>
      <c r="C100" s="2">
        <v>45975</v>
      </c>
      <c r="D100">
        <f t="shared" si="3"/>
        <v>0</v>
      </c>
    </row>
    <row r="101" spans="1:4" x14ac:dyDescent="0.3">
      <c r="A101" s="1">
        <v>25174</v>
      </c>
      <c r="B101" s="2">
        <v>45982</v>
      </c>
      <c r="C101" s="2">
        <v>45982</v>
      </c>
      <c r="D101">
        <f t="shared" si="3"/>
        <v>0</v>
      </c>
    </row>
    <row r="102" spans="1:4" x14ac:dyDescent="0.3">
      <c r="A102" s="1">
        <v>25175</v>
      </c>
      <c r="B102" s="2">
        <v>45989</v>
      </c>
      <c r="C102" s="2">
        <v>45989</v>
      </c>
      <c r="D102">
        <f t="shared" si="3"/>
        <v>0</v>
      </c>
    </row>
    <row r="103" spans="1:4" x14ac:dyDescent="0.3">
      <c r="A103" s="1">
        <v>25176</v>
      </c>
      <c r="B103" s="2">
        <v>45989</v>
      </c>
      <c r="C103" s="2">
        <v>45989</v>
      </c>
      <c r="D103">
        <f t="shared" si="3"/>
        <v>0</v>
      </c>
    </row>
    <row r="104" spans="1:4" x14ac:dyDescent="0.3">
      <c r="A104" s="1">
        <v>25177</v>
      </c>
      <c r="B104" s="2">
        <v>46031</v>
      </c>
      <c r="C104" s="2">
        <v>46031</v>
      </c>
      <c r="D104">
        <f t="shared" si="3"/>
        <v>0</v>
      </c>
    </row>
    <row r="105" spans="1:4" x14ac:dyDescent="0.3">
      <c r="A105" s="1">
        <v>25178</v>
      </c>
      <c r="B105" s="2">
        <v>45982</v>
      </c>
      <c r="C105" s="2">
        <v>45982</v>
      </c>
      <c r="D105">
        <f t="shared" si="3"/>
        <v>0</v>
      </c>
    </row>
    <row r="106" spans="1:4" x14ac:dyDescent="0.3">
      <c r="A106" s="1">
        <v>25179</v>
      </c>
      <c r="B106" s="2">
        <v>45982</v>
      </c>
      <c r="C106" s="2">
        <v>45982</v>
      </c>
      <c r="D106">
        <f t="shared" si="3"/>
        <v>0</v>
      </c>
    </row>
    <row r="107" spans="1:4" x14ac:dyDescent="0.3">
      <c r="A107" s="1">
        <v>25181</v>
      </c>
      <c r="B107" s="2">
        <v>45989</v>
      </c>
      <c r="C107" s="2">
        <v>45989</v>
      </c>
      <c r="D107">
        <f t="shared" si="3"/>
        <v>0</v>
      </c>
    </row>
    <row r="108" spans="1:4" x14ac:dyDescent="0.3">
      <c r="A108" s="1">
        <v>25182</v>
      </c>
      <c r="B108" s="2">
        <v>45975</v>
      </c>
      <c r="C108" s="2">
        <v>45975</v>
      </c>
      <c r="D108">
        <f t="shared" si="3"/>
        <v>0</v>
      </c>
    </row>
    <row r="109" spans="1:4" x14ac:dyDescent="0.3">
      <c r="A109" s="1">
        <v>25185</v>
      </c>
      <c r="B109" s="2">
        <v>46031</v>
      </c>
      <c r="C109" s="2">
        <v>46031</v>
      </c>
      <c r="D109">
        <f t="shared" si="3"/>
        <v>0</v>
      </c>
    </row>
    <row r="110" spans="1:4" x14ac:dyDescent="0.3">
      <c r="A110" s="1">
        <v>25187</v>
      </c>
      <c r="B110" s="2">
        <v>46003</v>
      </c>
      <c r="C110" s="2">
        <v>46003</v>
      </c>
      <c r="D110">
        <f t="shared" si="3"/>
        <v>0</v>
      </c>
    </row>
    <row r="111" spans="1:4" x14ac:dyDescent="0.3">
      <c r="A111" s="1">
        <v>25189</v>
      </c>
      <c r="B111" s="2">
        <v>46003</v>
      </c>
      <c r="C111" s="2">
        <v>46003</v>
      </c>
      <c r="D111">
        <f t="shared" si="3"/>
        <v>0</v>
      </c>
    </row>
    <row r="112" spans="1:4" x14ac:dyDescent="0.3">
      <c r="A112" s="1">
        <v>25190</v>
      </c>
      <c r="B112" s="2">
        <v>46003</v>
      </c>
      <c r="C112" s="2">
        <v>46003</v>
      </c>
      <c r="D112">
        <f t="shared" si="3"/>
        <v>0</v>
      </c>
    </row>
    <row r="113" spans="1:4" x14ac:dyDescent="0.3">
      <c r="A113" s="1">
        <v>25191</v>
      </c>
      <c r="B113" s="2">
        <v>45996</v>
      </c>
      <c r="C113" s="2">
        <v>45996</v>
      </c>
      <c r="D113">
        <f t="shared" si="3"/>
        <v>0</v>
      </c>
    </row>
    <row r="114" spans="1:4" x14ac:dyDescent="0.3">
      <c r="A114" s="1">
        <v>25194</v>
      </c>
      <c r="B114" s="2">
        <v>45996</v>
      </c>
      <c r="C114" s="2">
        <v>45996</v>
      </c>
      <c r="D114">
        <f t="shared" si="3"/>
        <v>0</v>
      </c>
    </row>
    <row r="115" spans="1:4" x14ac:dyDescent="0.3">
      <c r="A115" s="1">
        <v>25200</v>
      </c>
      <c r="B115" s="2">
        <v>46022</v>
      </c>
      <c r="C115" s="2">
        <v>46022</v>
      </c>
      <c r="D115">
        <f t="shared" si="3"/>
        <v>0</v>
      </c>
    </row>
    <row r="116" spans="1:4" x14ac:dyDescent="0.3">
      <c r="A116" s="1">
        <v>25202</v>
      </c>
      <c r="B116" s="2">
        <v>46038</v>
      </c>
      <c r="C116" s="2">
        <v>46038</v>
      </c>
      <c r="D116">
        <f t="shared" si="3"/>
        <v>0</v>
      </c>
    </row>
    <row r="117" spans="1:4" x14ac:dyDescent="0.3">
      <c r="A117" s="1">
        <v>25203</v>
      </c>
      <c r="B117" s="2">
        <v>45996</v>
      </c>
      <c r="C117" s="2">
        <v>45996</v>
      </c>
      <c r="D117">
        <f t="shared" si="3"/>
        <v>0</v>
      </c>
    </row>
    <row r="118" spans="1:4" x14ac:dyDescent="0.3">
      <c r="A118" s="1">
        <v>25206</v>
      </c>
      <c r="B118" s="2">
        <v>46003</v>
      </c>
      <c r="C118" s="2">
        <v>46003</v>
      </c>
      <c r="D118">
        <f t="shared" si="3"/>
        <v>0</v>
      </c>
    </row>
    <row r="119" spans="1:4" x14ac:dyDescent="0.3">
      <c r="A119" s="1">
        <v>25207</v>
      </c>
      <c r="B119" s="2">
        <v>46045</v>
      </c>
      <c r="C119" s="2">
        <v>46045</v>
      </c>
      <c r="D119">
        <f t="shared" si="3"/>
        <v>0</v>
      </c>
    </row>
    <row r="120" spans="1:4" x14ac:dyDescent="0.3">
      <c r="A120" s="1">
        <v>25210</v>
      </c>
      <c r="B120" s="2">
        <v>46094</v>
      </c>
      <c r="C120" s="2">
        <v>46094</v>
      </c>
      <c r="D120">
        <f t="shared" si="3"/>
        <v>0</v>
      </c>
    </row>
    <row r="121" spans="1:4" x14ac:dyDescent="0.3">
      <c r="A121" s="1">
        <v>25212</v>
      </c>
      <c r="B121" s="2">
        <v>46115</v>
      </c>
      <c r="C121" s="2">
        <v>46115</v>
      </c>
      <c r="D121">
        <f t="shared" si="3"/>
        <v>0</v>
      </c>
    </row>
    <row r="122" spans="1:4" x14ac:dyDescent="0.3">
      <c r="A122" s="1">
        <v>25213</v>
      </c>
      <c r="B122" s="2">
        <v>46094</v>
      </c>
      <c r="C122" s="2">
        <v>46094</v>
      </c>
      <c r="D122">
        <f t="shared" si="3"/>
        <v>0</v>
      </c>
    </row>
    <row r="123" spans="1:4" x14ac:dyDescent="0.3">
      <c r="A123" s="1">
        <v>25214</v>
      </c>
      <c r="B123" s="2">
        <v>46059</v>
      </c>
      <c r="C123" s="2">
        <v>46059</v>
      </c>
      <c r="D123">
        <f t="shared" si="3"/>
        <v>0</v>
      </c>
    </row>
    <row r="124" spans="1:4" x14ac:dyDescent="0.3">
      <c r="A124" s="1">
        <v>25220</v>
      </c>
      <c r="B124" s="2">
        <v>46073</v>
      </c>
      <c r="C124" s="2">
        <v>46073</v>
      </c>
      <c r="D124">
        <f t="shared" si="3"/>
        <v>0</v>
      </c>
    </row>
    <row r="125" spans="1:4" x14ac:dyDescent="0.3">
      <c r="A125" s="1">
        <v>25221</v>
      </c>
      <c r="B125" s="2">
        <v>46073</v>
      </c>
      <c r="C125" s="2">
        <v>46073</v>
      </c>
      <c r="D125">
        <f t="shared" si="3"/>
        <v>0</v>
      </c>
    </row>
    <row r="126" spans="1:4" x14ac:dyDescent="0.3">
      <c r="A126" s="1">
        <v>25228</v>
      </c>
      <c r="B126" s="2">
        <v>46045</v>
      </c>
      <c r="C126" s="2">
        <v>46045</v>
      </c>
      <c r="D126">
        <f t="shared" si="3"/>
        <v>0</v>
      </c>
    </row>
    <row r="127" spans="1:4" x14ac:dyDescent="0.3">
      <c r="A127" s="1">
        <v>25231</v>
      </c>
      <c r="B127" s="2">
        <v>46022</v>
      </c>
      <c r="C127" s="2">
        <v>46022</v>
      </c>
      <c r="D127">
        <f t="shared" si="3"/>
        <v>0</v>
      </c>
    </row>
    <row r="128" spans="1:4" x14ac:dyDescent="0.3">
      <c r="A128" s="1">
        <v>25233</v>
      </c>
      <c r="B128" s="2">
        <v>46066</v>
      </c>
      <c r="C128" s="2">
        <v>46066</v>
      </c>
      <c r="D128">
        <f t="shared" si="3"/>
        <v>0</v>
      </c>
    </row>
    <row r="129" spans="1:4" x14ac:dyDescent="0.3">
      <c r="A129" s="1">
        <v>25234</v>
      </c>
      <c r="B129" s="2">
        <v>46094</v>
      </c>
      <c r="C129" s="2">
        <v>46094</v>
      </c>
      <c r="D129">
        <f t="shared" si="3"/>
        <v>0</v>
      </c>
    </row>
    <row r="130" spans="1:4" x14ac:dyDescent="0.3">
      <c r="A130" s="1">
        <v>25237</v>
      </c>
      <c r="B130" s="2">
        <v>46142</v>
      </c>
      <c r="C130" s="2">
        <v>46142</v>
      </c>
      <c r="D130">
        <f t="shared" ref="D130:D161" si="4">C130-B130</f>
        <v>0</v>
      </c>
    </row>
    <row r="131" spans="1:4" x14ac:dyDescent="0.3">
      <c r="A131" s="1">
        <v>25238</v>
      </c>
      <c r="B131" s="2">
        <v>46031</v>
      </c>
      <c r="C131" s="2">
        <v>46031</v>
      </c>
      <c r="D131">
        <f t="shared" si="4"/>
        <v>0</v>
      </c>
    </row>
    <row r="132" spans="1:4" x14ac:dyDescent="0.3">
      <c r="A132" s="1">
        <v>25243</v>
      </c>
      <c r="B132" s="2">
        <v>46080</v>
      </c>
      <c r="C132" s="2">
        <v>46080</v>
      </c>
      <c r="D132">
        <f t="shared" si="4"/>
        <v>0</v>
      </c>
    </row>
    <row r="133" spans="1:4" x14ac:dyDescent="0.3">
      <c r="A133" s="1">
        <v>25244</v>
      </c>
      <c r="B133" s="2">
        <v>46052</v>
      </c>
      <c r="C133" s="2">
        <v>46052</v>
      </c>
      <c r="D133">
        <f t="shared" si="4"/>
        <v>0</v>
      </c>
    </row>
    <row r="134" spans="1:4" x14ac:dyDescent="0.3">
      <c r="A134" s="1">
        <v>26005</v>
      </c>
      <c r="B134" s="2">
        <v>46080</v>
      </c>
      <c r="C134" s="2">
        <v>46080</v>
      </c>
      <c r="D134">
        <f t="shared" si="4"/>
        <v>0</v>
      </c>
    </row>
    <row r="135" spans="1:4" x14ac:dyDescent="0.3">
      <c r="A135" s="1">
        <v>26008</v>
      </c>
      <c r="B135" s="2">
        <v>46122</v>
      </c>
      <c r="C135" s="2">
        <v>46122</v>
      </c>
      <c r="D135">
        <f t="shared" si="4"/>
        <v>0</v>
      </c>
    </row>
    <row r="136" spans="1:4" x14ac:dyDescent="0.3">
      <c r="A136" s="1">
        <v>26009</v>
      </c>
      <c r="B136" s="2">
        <v>46080</v>
      </c>
      <c r="C136" s="2">
        <v>46080</v>
      </c>
      <c r="D136">
        <f t="shared" si="4"/>
        <v>0</v>
      </c>
    </row>
    <row r="137" spans="1:4" x14ac:dyDescent="0.3">
      <c r="A137" s="1">
        <v>26015</v>
      </c>
      <c r="B137" s="2">
        <v>46129</v>
      </c>
      <c r="C137" s="2">
        <v>46129</v>
      </c>
      <c r="D137">
        <f t="shared" si="4"/>
        <v>0</v>
      </c>
    </row>
    <row r="138" spans="1:4" x14ac:dyDescent="0.3">
      <c r="A138" s="1">
        <v>26019</v>
      </c>
      <c r="B138" s="2">
        <v>46115</v>
      </c>
      <c r="C138" s="2">
        <v>46115</v>
      </c>
      <c r="D138">
        <f t="shared" si="4"/>
        <v>0</v>
      </c>
    </row>
    <row r="139" spans="1:4" x14ac:dyDescent="0.3">
      <c r="A139" s="1">
        <v>26022</v>
      </c>
      <c r="B139" s="2">
        <v>46129</v>
      </c>
      <c r="C139" s="2">
        <v>46129</v>
      </c>
      <c r="D139">
        <f t="shared" si="4"/>
        <v>0</v>
      </c>
    </row>
    <row r="140" spans="1:4" x14ac:dyDescent="0.3">
      <c r="A140" s="1">
        <v>26031</v>
      </c>
      <c r="B140" s="2">
        <v>46136</v>
      </c>
      <c r="C140" s="2">
        <v>46136</v>
      </c>
      <c r="D140">
        <f t="shared" si="4"/>
        <v>0</v>
      </c>
    </row>
    <row r="141" spans="1:4" x14ac:dyDescent="0.3">
      <c r="A141" s="1">
        <v>26044</v>
      </c>
      <c r="B141" s="2">
        <v>46136</v>
      </c>
      <c r="C141" s="2">
        <v>46136</v>
      </c>
      <c r="D141">
        <f t="shared" si="4"/>
        <v>0</v>
      </c>
    </row>
    <row r="142" spans="1:4" x14ac:dyDescent="0.3">
      <c r="A142" s="1">
        <v>26045</v>
      </c>
      <c r="B142" s="2">
        <v>46150</v>
      </c>
      <c r="C142" s="2">
        <v>46150</v>
      </c>
      <c r="D142">
        <f t="shared" si="4"/>
        <v>0</v>
      </c>
    </row>
    <row r="143" spans="1:4" x14ac:dyDescent="0.3">
      <c r="A143" s="1">
        <v>26046</v>
      </c>
      <c r="B143" s="2">
        <v>46150</v>
      </c>
      <c r="C143" s="2">
        <v>46150</v>
      </c>
      <c r="D143">
        <f t="shared" si="4"/>
        <v>0</v>
      </c>
    </row>
    <row r="144" spans="1:4" x14ac:dyDescent="0.3">
      <c r="A144" s="1">
        <v>26047</v>
      </c>
      <c r="B144" s="2">
        <v>46129</v>
      </c>
      <c r="C144" s="2">
        <v>46129</v>
      </c>
      <c r="D144">
        <f t="shared" si="4"/>
        <v>0</v>
      </c>
    </row>
    <row r="145" spans="1:4" x14ac:dyDescent="0.3">
      <c r="A145" s="1">
        <v>26060</v>
      </c>
      <c r="B145" s="2">
        <v>46164</v>
      </c>
      <c r="C145" s="2">
        <v>46164</v>
      </c>
      <c r="D145">
        <f t="shared" si="4"/>
        <v>0</v>
      </c>
    </row>
    <row r="146" spans="1:4" x14ac:dyDescent="0.3">
      <c r="A146" s="1">
        <v>26035</v>
      </c>
      <c r="B146" s="2">
        <v>46130</v>
      </c>
      <c r="C146" s="2">
        <v>46129</v>
      </c>
      <c r="D146">
        <f t="shared" si="4"/>
        <v>-1</v>
      </c>
    </row>
    <row r="147" spans="1:4" x14ac:dyDescent="0.3">
      <c r="A147" s="1">
        <v>25205</v>
      </c>
      <c r="B147" s="2">
        <v>46080</v>
      </c>
      <c r="C147" s="2">
        <v>46078</v>
      </c>
      <c r="D147">
        <f t="shared" si="4"/>
        <v>-2</v>
      </c>
    </row>
    <row r="148" spans="1:4" x14ac:dyDescent="0.3">
      <c r="A148" s="1">
        <v>25249</v>
      </c>
      <c r="B148" s="2">
        <v>46142</v>
      </c>
      <c r="C148" s="2">
        <v>46136</v>
      </c>
      <c r="D148">
        <f t="shared" si="4"/>
        <v>-6</v>
      </c>
    </row>
    <row r="149" spans="1:4" x14ac:dyDescent="0.3">
      <c r="A149" s="1">
        <v>25091</v>
      </c>
      <c r="B149" s="2">
        <v>46003</v>
      </c>
      <c r="C149" s="2">
        <v>45996</v>
      </c>
      <c r="D149">
        <f t="shared" si="4"/>
        <v>-7</v>
      </c>
    </row>
    <row r="150" spans="1:4" x14ac:dyDescent="0.3">
      <c r="A150" s="1">
        <v>25092</v>
      </c>
      <c r="B150" s="2">
        <v>45961</v>
      </c>
      <c r="C150" s="2">
        <v>45954</v>
      </c>
      <c r="D150">
        <f t="shared" si="4"/>
        <v>-7</v>
      </c>
    </row>
    <row r="151" spans="1:4" x14ac:dyDescent="0.3">
      <c r="A151" s="1">
        <v>25109</v>
      </c>
      <c r="B151" s="2">
        <v>45926</v>
      </c>
      <c r="C151" s="2">
        <v>45919</v>
      </c>
      <c r="D151">
        <f t="shared" si="4"/>
        <v>-7</v>
      </c>
    </row>
    <row r="152" spans="1:4" x14ac:dyDescent="0.3">
      <c r="A152" s="1">
        <v>25216</v>
      </c>
      <c r="B152" s="2">
        <v>46080</v>
      </c>
      <c r="C152" s="2">
        <v>46073</v>
      </c>
      <c r="D152">
        <f t="shared" si="4"/>
        <v>-7</v>
      </c>
    </row>
    <row r="153" spans="1:4" x14ac:dyDescent="0.3">
      <c r="A153" s="1">
        <v>25250</v>
      </c>
      <c r="B153" s="2">
        <v>46157</v>
      </c>
      <c r="C153" s="2">
        <v>46150</v>
      </c>
      <c r="D153">
        <f t="shared" si="4"/>
        <v>-7</v>
      </c>
    </row>
    <row r="154" spans="1:4" x14ac:dyDescent="0.3">
      <c r="A154" s="1">
        <v>25251</v>
      </c>
      <c r="B154" s="2">
        <v>46136</v>
      </c>
      <c r="C154" s="2">
        <v>46129</v>
      </c>
      <c r="D154">
        <f t="shared" si="4"/>
        <v>-7</v>
      </c>
    </row>
    <row r="155" spans="1:4" x14ac:dyDescent="0.3">
      <c r="A155" s="1">
        <v>26061</v>
      </c>
      <c r="B155" s="2">
        <v>46129</v>
      </c>
      <c r="C155" s="2">
        <v>46119</v>
      </c>
      <c r="D155">
        <f t="shared" si="4"/>
        <v>-10</v>
      </c>
    </row>
    <row r="156" spans="1:4" x14ac:dyDescent="0.3">
      <c r="A156" s="1">
        <v>25040</v>
      </c>
      <c r="B156" s="2">
        <v>45982</v>
      </c>
      <c r="C156" s="2">
        <v>45968</v>
      </c>
      <c r="D156">
        <f t="shared" si="4"/>
        <v>-14</v>
      </c>
    </row>
    <row r="157" spans="1:4" x14ac:dyDescent="0.3">
      <c r="A157" s="1">
        <v>25209</v>
      </c>
      <c r="B157" s="2">
        <v>46136</v>
      </c>
      <c r="C157" s="2">
        <v>46122</v>
      </c>
      <c r="D157">
        <f t="shared" si="4"/>
        <v>-14</v>
      </c>
    </row>
    <row r="158" spans="1:4" x14ac:dyDescent="0.3">
      <c r="A158" s="1">
        <v>25246</v>
      </c>
      <c r="B158" s="2">
        <v>46080</v>
      </c>
      <c r="C158" s="2">
        <v>46066</v>
      </c>
      <c r="D158">
        <f t="shared" si="4"/>
        <v>-14</v>
      </c>
    </row>
    <row r="159" spans="1:4" x14ac:dyDescent="0.3">
      <c r="A159" s="1">
        <v>25252</v>
      </c>
      <c r="B159" s="2">
        <v>46164</v>
      </c>
      <c r="C159" s="2">
        <v>46150</v>
      </c>
      <c r="D159">
        <f t="shared" si="4"/>
        <v>-14</v>
      </c>
    </row>
    <row r="160" spans="1:4" x14ac:dyDescent="0.3">
      <c r="A160" s="1">
        <v>26057</v>
      </c>
      <c r="B160" s="2">
        <v>46142</v>
      </c>
      <c r="C160" s="2">
        <v>46126</v>
      </c>
      <c r="D160">
        <f t="shared" si="4"/>
        <v>-16</v>
      </c>
    </row>
    <row r="161" spans="1:4" x14ac:dyDescent="0.3">
      <c r="A161" s="1">
        <v>25223</v>
      </c>
      <c r="B161" s="2">
        <v>46037</v>
      </c>
      <c r="C161" s="2">
        <v>46017</v>
      </c>
      <c r="D161">
        <f t="shared" si="4"/>
        <v>-20</v>
      </c>
    </row>
    <row r="162" spans="1:4" x14ac:dyDescent="0.3">
      <c r="A162" s="1">
        <v>25124</v>
      </c>
      <c r="B162" s="2">
        <v>45982</v>
      </c>
      <c r="C162" s="2">
        <v>45940</v>
      </c>
      <c r="D162">
        <f t="shared" ref="D162:D193" si="5">C162-B162</f>
        <v>-42</v>
      </c>
    </row>
  </sheetData>
  <autoFilter ref="A1:D162" xr:uid="{F486EF12-49B5-4966-8B56-D2FBA1216C7F}">
    <sortState xmlns:xlrd2="http://schemas.microsoft.com/office/spreadsheetml/2017/richdata2" ref="A2:D162">
      <sortCondition descending="1" ref="D1:D162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43fed2a-84e1-4ae4-8632-7ec433e580c7">
      <Terms xmlns="http://schemas.microsoft.com/office/infopath/2007/PartnerControls"/>
    </lcf76f155ced4ddcb4097134ff3c332f>
    <TaxCatchAll xmlns="0d712b52-b99b-4f81-a61f-ce3d42633cb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2900D840B0E544AA24F1570FBD565A" ma:contentTypeVersion="12" ma:contentTypeDescription="Crée un document." ma:contentTypeScope="" ma:versionID="cb1768f5654a8691d5a1343d94474acd">
  <xsd:schema xmlns:xsd="http://www.w3.org/2001/XMLSchema" xmlns:xs="http://www.w3.org/2001/XMLSchema" xmlns:p="http://schemas.microsoft.com/office/2006/metadata/properties" xmlns:ns2="443fed2a-84e1-4ae4-8632-7ec433e580c7" xmlns:ns3="0d712b52-b99b-4f81-a61f-ce3d42633cb2" targetNamespace="http://schemas.microsoft.com/office/2006/metadata/properties" ma:root="true" ma:fieldsID="7c3811f23a060b6a1958b89160a4d889" ns2:_="" ns3:_="">
    <xsd:import namespace="443fed2a-84e1-4ae4-8632-7ec433e580c7"/>
    <xsd:import namespace="0d712b52-b99b-4f81-a61f-ce3d42633cb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3fed2a-84e1-4ae4-8632-7ec433e580c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5" nillable="true" ma:displayName="Location" ma:indexed="true" ma:internalName="MediaServiceLocation" ma:readOnly="true">
      <xsd:simpleType>
        <xsd:restriction base="dms:Text"/>
      </xsd:simpleType>
    </xsd:element>
    <xsd:element name="lcf76f155ced4ddcb4097134ff3c332f" ma:index="17" nillable="true" ma:taxonomy="true" ma:internalName="lcf76f155ced4ddcb4097134ff3c332f" ma:taxonomyFieldName="MediaServiceImageTags" ma:displayName="Balises d’images" ma:readOnly="false" ma:fieldId="{5cf76f15-5ced-4ddc-b409-7134ff3c332f}" ma:taxonomyMulti="true" ma:sspId="51ba5236-392f-433a-a409-d9165d8e0ab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712b52-b99b-4f81-a61f-ce3d42633cb2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7ec52443-63fe-4f1e-8fed-2a9cc47953af}" ma:internalName="TaxCatchAll" ma:showField="CatchAllData" ma:web="0d712b52-b99b-4f81-a61f-ce3d42633cb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CB93054-90B6-48CA-AFC4-1C9F914F7DA0}">
  <ds:schemaRefs>
    <ds:schemaRef ds:uri="http://schemas.microsoft.com/office/2006/metadata/properties"/>
    <ds:schemaRef ds:uri="http://schemas.microsoft.com/office/infopath/2007/PartnerControls"/>
    <ds:schemaRef ds:uri="443fed2a-84e1-4ae4-8632-7ec433e580c7"/>
    <ds:schemaRef ds:uri="0d712b52-b99b-4f81-a61f-ce3d42633cb2"/>
  </ds:schemaRefs>
</ds:datastoreItem>
</file>

<file path=customXml/itemProps2.xml><?xml version="1.0" encoding="utf-8"?>
<ds:datastoreItem xmlns:ds="http://schemas.openxmlformats.org/officeDocument/2006/customXml" ds:itemID="{0614F2A6-D153-42D0-9C2E-90F447E7D00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3854F21-304F-4537-9D07-8C4B56339A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3fed2a-84e1-4ae4-8632-7ec433e580c7"/>
    <ds:schemaRef ds:uri="0d712b52-b99b-4f81-a61f-ce3d42633cb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Gaelle GERY</dc:creator>
  <cp:lastModifiedBy>Maxime BLANZAT - PONCEBLANC</cp:lastModifiedBy>
  <cp:lastPrinted>2025-12-29T14:08:20Z</cp:lastPrinted>
  <dcterms:created xsi:type="dcterms:W3CDTF">2025-09-22T07:08:26Z</dcterms:created>
  <dcterms:modified xsi:type="dcterms:W3CDTF">2026-06-05T09:06:54Z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0x010100AD2900D840B0E544AA24F1570FBD565A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