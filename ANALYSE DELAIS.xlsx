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LAIS/"/>
    </mc:Choice>
  </mc:AlternateContent>
  <xr:revisionPtr revIDLastSave="3058" documentId="13_ncr:1_{812CE923-C0E5-444E-8B27-77724A147C38}" xr6:coauthVersionLast="47" xr6:coauthVersionMax="47" xr10:uidLastSave="{6392D5E3-2B2A-4C97-8A43-E724BA16BA7E}"/>
  <bookViews>
    <workbookView xWindow="28680" yWindow="-14565" windowWidth="38640" windowHeight="21120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Feuil1!$A$1:$AN$254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5" i="1" l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AJ255" i="1"/>
  <c r="AK255" i="1"/>
  <c r="AL255" i="1"/>
  <c r="AM255" i="1"/>
  <c r="AN255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AJ256" i="1"/>
  <c r="AK256" i="1"/>
  <c r="AL256" i="1"/>
  <c r="AM256" i="1"/>
  <c r="AN256" i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AI257" i="1"/>
  <c r="AJ257" i="1"/>
  <c r="AK257" i="1"/>
  <c r="AL257" i="1"/>
  <c r="AM257" i="1"/>
  <c r="AN257" i="1"/>
  <c r="W258" i="1"/>
  <c r="X258" i="1"/>
  <c r="Y258" i="1"/>
  <c r="Z258" i="1"/>
  <c r="AA258" i="1"/>
  <c r="AB258" i="1"/>
  <c r="AC258" i="1"/>
  <c r="AD258" i="1"/>
  <c r="AE258" i="1"/>
  <c r="AF258" i="1"/>
  <c r="AG258" i="1"/>
  <c r="AH258" i="1"/>
  <c r="AI258" i="1"/>
  <c r="AJ258" i="1"/>
  <c r="AK258" i="1"/>
  <c r="AL258" i="1"/>
  <c r="AM258" i="1"/>
  <c r="AN258" i="1"/>
  <c r="D31" i="3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<sst xmlns="http://schemas.openxmlformats.org/spreadsheetml/2006/main" count="896" uniqueCount="450">
  <si>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</si>
  <si>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</si>
  <si>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</si>
  <si>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</si>
  <si>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</si>
  <si>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</si>
  <si>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</si>
  <si>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</si>
  <si>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</si>
  <si>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</si>
  <si>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</si>
  <si>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</si>
  <si>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</si>
  <si>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</si>
  <si>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</si>
  <si>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</si>
  <si>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</si>
  <si>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</si>
  <si>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</si>
  <si>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</si>
  <si>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</si>
  <si>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</si>
  <si>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</si>
  <si>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</si>
  <si>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</si>
  <si>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</si>
  <si>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</si>
  <si>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</si>
  <si>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</si>
  <si>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</si>
  <si>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</si>
  <si>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</si>
  <si>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</si>
  <si>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</si>
  <si>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</si>
  <si>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</si>
  <si>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</si>
  <si>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</si>
  <si>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</si>
  <si>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</si>
  <si>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</si>
  <si>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</si>
  <si>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</si>
  <si>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</si>
  <si>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</si>
  <si>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</si>
  <si>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</si>
  <si>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</si>
  <si>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</si>
  <si>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</si>
  <si>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</si>
  <si>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</si>
  <si>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</si>
  <si>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</si>
  <si>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</si>
  <si>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</si>
  <si>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</si>
  <si>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</si>
  <si>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</si>
  <si>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</si>
  <si>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</si>
  <si>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</si>
  <si>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</si>
  <si>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</si>
  <si>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</si>
  <si>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</si>
  <si>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</si>
  <si>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</si>
  <si>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</si>
  <si>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</si>
  <si>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</si>
  <si>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</si>
  <si>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</si>
  <si>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</si>
  <si>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</si>
  <si>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</si>
  <si>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</si>
  <si>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</si>
  <si>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</si>
  <si>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</si>
  <si>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</si>
  <si>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</si>
  <si>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</si>
  <si>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</si>
  <si>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</si>
  <si>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</si>
  <si>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</si>
  <si>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</si>
  <si>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</si>
  <si>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</si>
  <si>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</si>
  <si>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</si>
  <si>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</si>
  <si>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</si>
  <si>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</si>
  <si>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</si>
  <si>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</si>
  <si>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</si>
  <si>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</si>
  <si>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</si>
  <si>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</si>
  <si>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</si>
  <si>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</si>
  <si>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</si>
  <si>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</si>
  <si>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</si>
  <si>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</si>
  <si>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</si>
  <si>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</si>
  <si>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</si>
  <si>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</si>
  <si>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</si>
  <si>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</si>
  <si>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</si>
  <si>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</si>
  <si>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</si>
  <si>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</si>
  <si>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</si>
  <si>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</si>
  <si>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</si>
  <si>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</si>
  <si>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</si>
  <si>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</si>
  <si>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</si>
  <si>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</si>
  <si>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</si>
  <si>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</si>
  <si>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</si>
  <si>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</si>
  <si>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</si>
  <si>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</si>
  <si>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</si>
  <si>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</si>
  <si>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</si>
  <si>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</si>
  <si>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</si>
  <si>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</si>
  <si>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</si>
  <si>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</si>
  <si>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</si>
  <si>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</si>
  <si>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</si>
  <si>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</si>
  <si>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</si>
  <si>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</si>
  <si>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</si>
  <si>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</si>
  <si>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</si>
  <si>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</si>
  <si>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</si>
  <si>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</si>
  <si>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</si>
  <si>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</si>
  <si>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</si>
  <si>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</si>
  <si>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</si>
  <si>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</si>
  <si>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</si>
  <si>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</si>
  <si>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</si>
  <si>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</si>
  <si>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</si>
  <si>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</si>
  <si>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</si>
  <si>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</si>
  <si>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</si>
  <si>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</si>
  <si>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</si>
  <si>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</si>
  <si>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</si>
  <si>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</si>
  <si>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</si>
  <si>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</si>
  <si>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</si>
  <si>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</si>
  <si>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</si>
  <si>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</si>
  <si>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</si>
  <si>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</si>
  <si>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</si>
  <si>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</si>
  <si>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</si>
  <si>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</si>
  <si>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</si>
  <si>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</si>
  <si>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</si>
  <si>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</si>
  <si>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</si>
  <si>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</si>
  <si>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</si>
  <si>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</si>
  <si>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</si>
  <si>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</si>
  <si>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</si>
  <si>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</si>
  <si>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</si>
  <si>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</si>
  <si>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</si>
  <si>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</si>
  <si>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</si>
  <si>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</si>
  <si>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</si>
  <si>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</si>
  <si>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</si>
  <si>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</si>
  <si>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</si>
  <si>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</si>
  <si>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</si>
  <si>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</si>
  <si>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</si>
  <si>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</si>
  <si>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</si>
  <si>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</si>
  <si>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</si>
  <si>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</si>
  <si>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</si>
  <si>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</si>
  <si>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</si>
  <si>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</si>
  <si>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</si>
  <si>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</si>
  <si>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</si>
  <si>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</si>
  <si>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</si>
  <si>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</si>
  <si>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</si>
  <si>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</si>
  <si>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</si>
  <si>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</si>
  <si>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</si>
  <si>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</si>
  <si>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</si>
  <si>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</si>
  <si>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</si>
  <si>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</si>
  <si>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</si>
  <si>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</si>
  <si>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</si>
  <si>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</si>
  <si>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</si>
  <si>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</si>
  <si>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</si>
  <si>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</si>
  <si>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</si>
  <si>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</si>
  <si>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</si>
  <si>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</si>
  <si>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</si>
  <si>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</si>
  <si>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</si>
  <si>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</si>
  <si>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</si>
  <si>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</si>
  <si>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</si>
  <si>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</si>
  <si>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</si>
  <si>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</si>
  <si>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</si>
  <si>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</si>
  <si>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</si>
  <si>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</si>
  <si>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</si>
  <si>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</si>
  <si>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</si>
  <si>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</si>
  <si>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</si>
  <si>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</si>
  <si>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</si>
  <si>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</si>
  <si>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</si>
  <si>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</si>
  <si>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</si>
  <si>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</si>
  <si>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</si>
  <si>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</si>
  <si>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</si>
  <si>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</si>
  <si>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</si>
  <si>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</si>
  <si>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</si>
  <si>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</si>
  <si>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</si>
  <si>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</si>
  <si>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</si>
  <si>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</si>
  <si>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</si>
  <si>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</si>
  <si>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</si>
  <si>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</si>
  <si>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</si>
  <si>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</si>
  <si>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</si>
  <si>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</si>
  <si>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</si>
  <si>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</si>
  <si>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</si>
  <si>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</si>
  <si>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</si>
  <si>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</si>
  <si>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</si>
  <si>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</si>
  <si>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</si>
  <si>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</si>
  <si>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</si>
  <si>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</si>
  <si>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</si>
  <si>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</si>
  <si>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</si>
  <si>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</si>
  <si>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</si>
  <si>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</si>
  <si>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</si>
  <si>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</si>
  <si>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</si>
  <si>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</si>
  <si>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</si>
  <si>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</si>
  <si>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</si>
  <si>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</si>
  <si>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</si>
  <si>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</si>
  <si>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</si>
  <si>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</si>
  <si>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</si>
  <si>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</si>
  <si>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</si>
  <si>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</si>
  <si>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</si>
  <si>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</si>
  <si>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</si>
  <si>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</si>
  <si>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</si>
  <si>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</si>
  <si>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</si>
  <si>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</si>
  <si>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</si>
  <si>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</si>
  <si>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</si>
  <si>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</si>
  <si>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</si>
  <si>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</si>
  <si>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</si>
  <si>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</si>
  <si>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</si>
  <si>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</si>
  <si>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</si>
  <si>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</si>
  <si>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</si>
  <si>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</si>
  <si>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</si>
  <si>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</si>
  <si>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</si>
  <si>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</si>
  <si>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</si>
  <si>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</si>
  <si>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</si>
  <si>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</si>
  <si>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</si>
  <si>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</si>
  <si>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</si>
  <si>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</si>
  <si>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</si>
  <si>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</si>
  <si>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</si>
  <si>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</si>
  <si>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</si>
  <si>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</si>
  <si>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</si>
  <si>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</si>
  <si>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</si>
  <si>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</si>
  <si>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</si>
  <si>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</si>
  <si>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</si>
  <si>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</si>
  <si>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</si>
  <si>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</si>
  <si>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</si>
  <si>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</si>
  <si>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</si>
  <si>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</si>
  <si>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</si>
  <si>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</si>
  <si>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</si>
  <si>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</si>
  <si>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</si>
  <si>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</si>
  <si>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</si>
  <si>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</si>
  <si>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</si>
  <si>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</si>
  <si>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</si>
  <si>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</si>
  <si>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</si>
  <si>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</si>
  <si>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</si>
  <si>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</si>
  <si>
    <t>NUANCIERS LIGHT ART</t>
  </si>
  <si>
    <t>NUANCIER</t>
  </si>
  <si>
    <t>RECOMANDE MATIERE</t>
  </si>
  <si>
    <t>COLLECTION PP HABITAT 2028</t>
  </si>
  <si>
    <t>RECOMMANDE MATIERE</t>
  </si>
  <si>
    <t>NUANCIER TARALAY PREMIUM</t>
  </si>
  <si>
    <t>NUANCIERS IRTEC 319/419</t>
  </si>
  <si>
    <t>NUANCIERS MASQ</t>
  </si>
  <si>
    <t>CARTE SATINE 21154 FR</t>
  </si>
  <si>
    <t>CDE 450063527 - 147610</t>
  </si>
  <si>
    <t>NUANCIERS CLASSICS</t>
  </si>
  <si>
    <t>NUANCIERS NATURALS</t>
  </si>
  <si>
    <t>COLLECTION PP HABITAT PREMIUM 2</t>
  </si>
  <si>
    <t>NUANCIERS SOLISO</t>
  </si>
  <si>
    <t>PB QTE IMPRESSION</t>
  </si>
  <si>
    <t>NUANCIERS ID LOOSELAY</t>
  </si>
  <si>
    <t>JELD WEN</t>
  </si>
  <si>
    <t>NUANCIERS SELECTIONS 2026</t>
  </si>
  <si>
    <t>PUBLISCREEN</t>
  </si>
  <si>
    <t>BOITES ISOCEL</t>
  </si>
  <si>
    <t>EMPREINTE CONSEIL</t>
  </si>
  <si>
    <t>MANCHONS DUO PROTECT</t>
  </si>
  <si>
    <t>RESOPAL / POLYREY</t>
  </si>
  <si>
    <t>CARTES</t>
  </si>
  <si>
    <t>NUANCIERS TX CLASSIC 2VR</t>
  </si>
  <si>
    <t>NUANCIERS WOOD'N CLICK</t>
  </si>
  <si>
    <t>RIMAY</t>
  </si>
  <si>
    <t>LOT BOITE + COUVERTURE + CLASSEUR</t>
  </si>
  <si>
    <t>NUANCIERS PILOTE</t>
  </si>
  <si>
    <t>LIASSES HYDRO</t>
  </si>
  <si>
    <t>ARBA</t>
  </si>
  <si>
    <t>NUANCIERS FENIX</t>
  </si>
  <si>
    <t>NUANCIERS CREATION 70</t>
  </si>
  <si>
    <t>NUANCIERS ID CONFORT ACOUSTIC FR</t>
  </si>
  <si>
    <t>SET 2 BOITES</t>
  </si>
  <si>
    <t>DESARCHIVAGE</t>
  </si>
  <si>
    <t>LIASSES MURAL CALYPSO</t>
  </si>
  <si>
    <t>PROGRAMME TOILE DE VERRE</t>
  </si>
  <si>
    <t>ID CLASSIC NORDIC + ID NATURAL NORDIC</t>
  </si>
  <si>
    <t>NUANCIERS VOYAGER</t>
  </si>
  <si>
    <t>NUANCIERS DAY DREAM</t>
  </si>
  <si>
    <t>CARTES SYSTÈME TARADOUCHE</t>
  </si>
  <si>
    <t>NUANCIERS GODFREYHIRST</t>
  </si>
  <si>
    <t>LIASSES INPIREO 8MM</t>
  </si>
  <si>
    <t>COMPTOIR DE L'OURS - HBF</t>
  </si>
  <si>
    <t>CGT ALKOR</t>
  </si>
  <si>
    <t>PROGRAMME LIASSE</t>
  </si>
  <si>
    <t>DEPLIANT  A REFAIRE MALFACON</t>
  </si>
  <si>
    <t>TARKETT NL</t>
  </si>
  <si>
    <t>NUANCIERS ESSENCE ROOTS</t>
  </si>
  <si>
    <t>BERRY ALLOC</t>
  </si>
  <si>
    <t>NUANCIER MODUTEK</t>
  </si>
  <si>
    <t>NUANCIER IQ MEGALIT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</si>
</sst>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1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dimension ref="A1:AN317"/>
  <sheetViews>
    <sheetView tabSelected="1" workbookViewId="0">
      <pane xSplit="1" ySplit="1" topLeftCell="E267" activePane="bottomRight" state="frozen"/>
      <selection pane="topRight" activeCell="B1" sqref="B1"/>
      <selection pane="bottomLeft" activeCell="A4" sqref="A4"/>
      <selection pane="bottomRight" activeCell="S318" sqref="S318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Q4" s="2">
        <v>46189</v>
      </c>
      <c r="R4" s="2">
        <v>46189</v>
      </c>
      <c r="W4" s="1">
        <f t="shared" si="1"/>
        <v>410</v>
      </c>
      <c r="X4" s="1">
        <f t="shared" si="2"/>
        <v>410</v>
      </c>
      <c r="Y4" s="1">
        <f t="shared" si="3"/>
        <v>32991</v>
      </c>
      <c r="Z4" s="1" t="str">
        <f t="shared" si="4"/>
        <v>PAS DE DEPART MATIERE</v>
      </c>
      <c r="AA4" s="1" t="str">
        <f t="shared" si="5"/>
        <v>PAS DE COMMANDE MATIERE</v>
      </c>
      <c r="AB4" s="1" t="str">
        <f t="shared" si="6"/>
        <v>PAS DE COMMANDE MATIERE</v>
      </c>
      <c r="AC4" s="1" t="str">
        <f t="shared" si="7"/>
        <v>PAS DE COMMANDE MATIERE</v>
      </c>
      <c r="AD4" s="1" t="str">
        <f t="shared" si="8"/>
        <v>PAS DE DEPART TIRAGES OU ACHATS</v>
      </c>
      <c r="AE4" s="1" t="str">
        <f t="shared" si="9"/>
        <v>PAS DE DATE IMPRESSION</v>
      </c>
      <c r="AF4" s="1" t="str">
        <f t="shared" si="10"/>
        <v>PAS DE DATE PAPIER</v>
      </c>
      <c r="AG4" s="1" t="str">
        <f t="shared" si="11"/>
        <v>PAS DE DATE CARTON</v>
      </c>
      <c r="AH4" s="1" t="str">
        <f t="shared" si="12"/>
        <v>PAS DE DATE FICHIER</v>
      </c>
      <c r="AI4" s="1" t="str">
        <f t="shared" si="13"/>
        <v>PAS DE DATE VALIDATION MODELE CLIENT</v>
      </c>
      <c r="AJ4" s="1" t="str">
        <f t="shared" si="14"/>
        <v>PAS DE DATE IMPRESSION</v>
      </c>
      <c r="AK4" s="1" t="str">
        <f t="shared" si="15"/>
        <v>PAS D'IMPRESSION</v>
      </c>
      <c r="AL4" s="1" t="str">
        <f t="shared" si="16"/>
        <v>PAS D'EXPEDITION DE MATIERE, D'IMPRESSION, OU D'ACHAT</v>
      </c>
      <c r="AM4" s="1" t="str">
        <f t="shared" si="0"/>
        <v>PAS D'EXPEDITION DE MATIERE, D'IMPRESSION, OU D'ACHAT</v>
      </c>
      <c r="AN4" s="1" t="str">
        <f t="shared" si="17"/>
        <v>PAS D'IMPRESSION</v>
      </c>
    </row>
    <row r="5" spans="1:40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Q5" s="2">
        <v>46189</v>
      </c>
      <c r="R5" s="2">
        <v>46189</v>
      </c>
      <c r="W5" s="1">
        <f t="shared" si="1"/>
        <v>410</v>
      </c>
      <c r="X5" s="1">
        <f t="shared" si="2"/>
        <v>410</v>
      </c>
      <c r="Y5" s="1">
        <f t="shared" si="3"/>
        <v>32991</v>
      </c>
      <c r="Z5" s="1" t="str">
        <f t="shared" si="4"/>
        <v>PAS DE DEPART MATIERE</v>
      </c>
      <c r="AA5" s="1" t="str">
        <f t="shared" si="5"/>
        <v>PAS DE COMMANDE MATIERE</v>
      </c>
      <c r="AB5" s="1" t="str">
        <f t="shared" si="6"/>
        <v>PAS DE COMMANDE MATIERE</v>
      </c>
      <c r="AC5" s="1" t="str">
        <f t="shared" si="7"/>
        <v>PAS DE COMMANDE MATIERE</v>
      </c>
      <c r="AD5" s="1" t="str">
        <f t="shared" si="8"/>
        <v>PAS DE DEPART TIRAGES OU ACHATS</v>
      </c>
      <c r="AE5" s="1" t="str">
        <f t="shared" si="9"/>
        <v>PAS DE DATE IMPRESSION</v>
      </c>
      <c r="AF5" s="1" t="str">
        <f t="shared" si="10"/>
        <v>PAS DE DATE PAPIER</v>
      </c>
      <c r="AG5" s="1" t="str">
        <f t="shared" si="11"/>
        <v>PAS DE DATE CARTON</v>
      </c>
      <c r="AH5" s="1" t="str">
        <f t="shared" si="12"/>
        <v>PAS DE DATE FICHIER</v>
      </c>
      <c r="AI5" s="1" t="str">
        <f t="shared" si="13"/>
        <v>PAS DE DATE VALIDATION MODELE CLIENT</v>
      </c>
      <c r="AJ5" s="1" t="str">
        <f t="shared" si="14"/>
        <v>PAS DE DATE IMPRESSION</v>
      </c>
      <c r="AK5" s="1" t="str">
        <f t="shared" ref="AK5:AK37" si="18">IFERROR(IF($R5="","NON LIVRE",IF($L5="","PAS D'IMPRESSION",IF($O5="","PAS DE DATE DEPART EN PROD TIRAGES ET ACHATS",NETWORKDAYS($L5,$O5)-1))),$O5)</f>
        <v>PAS D'IMPRESSION</v>
      </c>
      <c r="AL5" s="1" t="str">
        <f t="shared" si="16"/>
        <v>PAS D'EXPEDITION DE MATIERE, D'IMPRESSION, OU D'ACHAT</v>
      </c>
      <c r="AM5" s="1" t="str">
        <f t="shared" si="0"/>
        <v>PAS D'EXPEDITION DE MATIERE, D'IMPRESSION, OU D'ACHAT</v>
      </c>
      <c r="AN5" s="1" t="str">
        <f t="shared" si="17"/>
        <v>PAS D'IMPRESSION</v>
      </c>
    </row>
    <row r="6" spans="1:40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Q6" s="2">
        <v>46189</v>
      </c>
      <c r="R6" s="2">
        <v>46189</v>
      </c>
      <c r="W6" s="1">
        <f t="shared" si="1"/>
        <v>410</v>
      </c>
      <c r="X6" s="1">
        <f t="shared" si="2"/>
        <v>410</v>
      </c>
      <c r="Y6" s="1">
        <f t="shared" si="3"/>
        <v>32991</v>
      </c>
      <c r="Z6" s="1" t="str">
        <f t="shared" si="4"/>
        <v>PAS DE DEPART MATIERE</v>
      </c>
      <c r="AA6" s="1" t="str">
        <f t="shared" si="5"/>
        <v>PAS DE COMMANDE MATIERE</v>
      </c>
      <c r="AB6" s="1" t="str">
        <f t="shared" si="6"/>
        <v>PAS DE COMMANDE MATIERE</v>
      </c>
      <c r="AC6" s="1" t="str">
        <f t="shared" si="7"/>
        <v>PAS DE COMMANDE MATIERE</v>
      </c>
      <c r="AD6" s="1" t="str">
        <f t="shared" si="8"/>
        <v>PAS DE DEPART TIRAGES OU ACHATS</v>
      </c>
      <c r="AE6" s="1" t="str">
        <f t="shared" si="9"/>
        <v>PAS DE DATE IMPRESSION</v>
      </c>
      <c r="AF6" s="1" t="str">
        <f t="shared" si="10"/>
        <v>PAS DE DATE PAPIER</v>
      </c>
      <c r="AG6" s="1" t="str">
        <f t="shared" si="11"/>
        <v>PAS DE DATE CARTON</v>
      </c>
      <c r="AH6" s="1" t="str">
        <f t="shared" si="12"/>
        <v>PAS DE DATE FICHIER</v>
      </c>
      <c r="AI6" s="1" t="str">
        <f t="shared" si="13"/>
        <v>PAS DE DATE VALIDATION MODELE CLIENT</v>
      </c>
      <c r="AJ6" s="1" t="str">
        <f t="shared" si="14"/>
        <v>PAS DE DATE IMPRESSION</v>
      </c>
      <c r="AK6" s="1" t="str">
        <f t="shared" si="18"/>
        <v>PAS D'IMPRESSION</v>
      </c>
      <c r="AL6" s="1" t="str">
        <f t="shared" si="16"/>
        <v>PAS D'EXPEDITION DE MATIERE, D'IMPRESSION, OU D'ACHAT</v>
      </c>
      <c r="AM6" s="1" t="str">
        <f t="shared" si="0"/>
        <v>PAS D'EXPEDITION DE MATIERE, D'IMPRESSION, OU D'ACHAT</v>
      </c>
      <c r="AN6" s="1" t="str">
        <f t="shared" si="17"/>
        <v>PAS D'IMPRESSION</v>
      </c>
    </row>
    <row r="7" spans="1:40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Q7" s="2">
        <v>46189</v>
      </c>
      <c r="R7" s="2">
        <v>46189</v>
      </c>
      <c r="W7" s="1">
        <f t="shared" si="1"/>
        <v>410</v>
      </c>
      <c r="X7" s="1">
        <f t="shared" si="2"/>
        <v>410</v>
      </c>
      <c r="Y7" s="1">
        <f t="shared" si="3"/>
        <v>32991</v>
      </c>
      <c r="Z7" s="1" t="str">
        <f t="shared" si="4"/>
        <v>PAS DE DEPART MATIERE</v>
      </c>
      <c r="AA7" s="1" t="str">
        <f t="shared" si="5"/>
        <v>PAS DE COMMANDE MATIERE</v>
      </c>
      <c r="AB7" s="1" t="str">
        <f t="shared" si="6"/>
        <v>PAS DE COMMANDE MATIERE</v>
      </c>
      <c r="AC7" s="1" t="str">
        <f t="shared" si="7"/>
        <v>PAS DE COMMANDE MATIERE</v>
      </c>
      <c r="AD7" s="1" t="str">
        <f t="shared" si="8"/>
        <v>PAS DE DEPART TIRAGES OU ACHATS</v>
      </c>
      <c r="AE7" s="1" t="str">
        <f t="shared" si="9"/>
        <v>PAS DE DATE IMPRESSION</v>
      </c>
      <c r="AF7" s="1" t="str">
        <f t="shared" si="10"/>
        <v>PAS DE DATE PAPIER</v>
      </c>
      <c r="AG7" s="1" t="str">
        <f t="shared" si="11"/>
        <v>PAS DE DATE CARTON</v>
      </c>
      <c r="AH7" s="1" t="str">
        <f t="shared" si="12"/>
        <v>PAS DE DATE FICHIER</v>
      </c>
      <c r="AI7" s="1" t="str">
        <f t="shared" si="13"/>
        <v>PAS DE DATE VALIDATION MODELE CLIENT</v>
      </c>
      <c r="AJ7" s="1" t="str">
        <f t="shared" si="14"/>
        <v>PAS DE DATE IMPRESSION</v>
      </c>
      <c r="AK7" s="1" t="str">
        <f t="shared" si="18"/>
        <v>PAS D'IMPRESSION</v>
      </c>
      <c r="AL7" s="1" t="str">
        <f t="shared" si="16"/>
        <v>PAS D'EXPEDITION DE MATIERE, D'IMPRESSION, OU D'ACHAT</v>
      </c>
      <c r="AM7" s="1" t="str">
        <f t="shared" si="0"/>
        <v>PAS D'EXPEDITION DE MATIERE, D'IMPRESSION, OU D'ACHAT</v>
      </c>
      <c r="AN7" s="1" t="str">
        <f t="shared" si="17"/>
        <v>PAS D'IMPRESSION</v>
      </c>
    </row>
    <row r="8" spans="1:40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45855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45</v>
      </c>
      <c r="AC14" s="1">
        <f t="shared" si="7"/>
        <v>0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45855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45</v>
      </c>
      <c r="AC15" s="1">
        <f t="shared" si="7"/>
        <v>0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>
        <v>45747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45797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36</v>
      </c>
      <c r="AA17" s="1">
        <f t="shared" si="5"/>
        <v>0</v>
      </c>
      <c r="AB17" s="1">
        <f t="shared" si="6"/>
        <v>36</v>
      </c>
      <c r="AC17" s="1">
        <f t="shared" si="7"/>
        <v>0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2</v>
      </c>
      <c r="AM17" s="1">
        <f>IFERROR(IF($R17="","NON LIVRE",IF(MAX($N17,$O17)=0,"PAS D'EXPEDITION DE MATIERE, D'IMPRESSION, OU D'ACHAT",NETWORKDAYS(MAX($N17,$O17),$Q17)-1)),"PAS D'EXPEDITION DE MATIERE, D'IMPRESSION, OU D'ACHAT")</f>
        <v>18</v>
      </c>
      <c r="AN17" s="1">
        <f t="shared" si="17"/>
        <v>120</v>
      </c>
    </row>
    <row r="18" spans="1:40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45853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66</v>
      </c>
      <c r="AJ20" s="1">
        <f t="shared" si="14"/>
        <v>-25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H37" s="2">
        <v>46174</v>
      </c>
      <c r="I37" s="2">
        <v>45957</v>
      </c>
      <c r="J37" s="2">
        <v>45957</v>
      </c>
      <c r="L37" s="2">
        <v>46154</v>
      </c>
      <c r="M37" s="2">
        <v>45904</v>
      </c>
      <c r="N37" s="2">
        <v>46175</v>
      </c>
      <c r="O37" s="2">
        <v>46065</v>
      </c>
      <c r="P37" s="2">
        <v>46062</v>
      </c>
      <c r="Q37" s="2">
        <v>46031</v>
      </c>
      <c r="R37" s="2">
        <v>46184</v>
      </c>
      <c r="S37" s="1">
        <v>15</v>
      </c>
      <c r="T37" s="3" t="s">
        <v>320</v>
      </c>
      <c r="U37" s="1" t="s">
        <v>411</v>
      </c>
      <c r="W37" s="1">
        <f t="shared" si="1"/>
        <v>268</v>
      </c>
      <c r="X37" s="1">
        <f t="shared" si="2"/>
        <v>159</v>
      </c>
      <c r="Y37" s="1">
        <f t="shared" si="3"/>
        <v>-23</v>
      </c>
      <c r="Z37" s="1">
        <f t="shared" si="4"/>
        <v>261</v>
      </c>
      <c r="AA37" s="1">
        <f t="shared" si="5"/>
        <v>31</v>
      </c>
      <c r="AB37" s="1">
        <f t="shared" si="6"/>
        <v>229</v>
      </c>
      <c r="AC37" s="1">
        <f t="shared" si="7"/>
        <v>1</v>
      </c>
      <c r="AD37" s="1">
        <f t="shared" si="8"/>
        <v>183</v>
      </c>
      <c r="AE37" s="1">
        <f t="shared" si="9"/>
        <v>246</v>
      </c>
      <c r="AF37" s="1" t="str">
        <f t="shared" si="10"/>
        <v>PAS DE DATE PAPIER</v>
      </c>
      <c r="AG37" s="1">
        <f t="shared" si="11"/>
        <v>68</v>
      </c>
      <c r="AH37" s="1">
        <f t="shared" si="12"/>
        <v>105</v>
      </c>
      <c r="AI37" s="1">
        <f t="shared" si="13"/>
        <v>105</v>
      </c>
      <c r="AJ37" s="1">
        <f t="shared" si="14"/>
        <v>141</v>
      </c>
      <c r="AK37" s="1">
        <f t="shared" si="18"/>
        <v>-65</v>
      </c>
      <c r="AL37" s="1">
        <f t="shared" si="16"/>
        <v>78</v>
      </c>
      <c r="AM37" s="1">
        <f t="shared" si="0"/>
        <v>-104</v>
      </c>
      <c r="AN37" s="1">
        <f t="shared" si="17"/>
        <v>109</v>
      </c>
    </row>
    <row r="38" spans="1:40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45810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G43" s="2">
        <v>45980</v>
      </c>
      <c r="H43" s="2">
        <v>45999</v>
      </c>
      <c r="I43" s="2">
        <v>46014</v>
      </c>
      <c r="J43" s="2">
        <v>46042</v>
      </c>
      <c r="L43" s="2">
        <v>46139</v>
      </c>
      <c r="M43" s="2">
        <v>46148</v>
      </c>
      <c r="N43" s="2">
        <v>46057</v>
      </c>
      <c r="O43" s="2">
        <v>46155</v>
      </c>
      <c r="P43" s="2">
        <v>46080</v>
      </c>
      <c r="Q43" s="2">
        <v>46080</v>
      </c>
      <c r="R43" s="2">
        <v>46129</v>
      </c>
      <c r="S43" s="1">
        <v>6</v>
      </c>
      <c r="W43" s="1">
        <f t="shared" si="1"/>
        <v>225</v>
      </c>
      <c r="X43" s="1">
        <f t="shared" si="2"/>
        <v>190</v>
      </c>
      <c r="Y43" s="1">
        <f t="shared" si="3"/>
        <v>0</v>
      </c>
      <c r="Z43" s="1">
        <f t="shared" si="4"/>
        <v>173</v>
      </c>
      <c r="AA43" s="1">
        <f t="shared" si="5"/>
        <v>118</v>
      </c>
      <c r="AB43" s="1">
        <f t="shared" si="6"/>
        <v>13</v>
      </c>
      <c r="AC43" s="1">
        <f t="shared" si="7"/>
        <v>42</v>
      </c>
      <c r="AD43" s="1">
        <f t="shared" si="8"/>
        <v>243</v>
      </c>
      <c r="AE43" s="1">
        <f t="shared" si="9"/>
        <v>231</v>
      </c>
      <c r="AF43" s="1" t="str">
        <f t="shared" si="10"/>
        <v>PAS DE DATE PAPIER</v>
      </c>
      <c r="AG43" s="1">
        <f t="shared" si="11"/>
        <v>238</v>
      </c>
      <c r="AH43" s="1">
        <f t="shared" si="12"/>
        <v>142</v>
      </c>
      <c r="AI43" s="1">
        <f t="shared" si="13"/>
        <v>162</v>
      </c>
      <c r="AJ43" s="1">
        <f t="shared" si="14"/>
        <v>69</v>
      </c>
      <c r="AK43" s="1">
        <f t="shared" si="19"/>
        <v>12</v>
      </c>
      <c r="AL43" s="1">
        <f t="shared" si="16"/>
        <v>70</v>
      </c>
      <c r="AM43" s="1">
        <f t="shared" si="0"/>
        <v>-55</v>
      </c>
      <c r="AN43" s="1">
        <f t="shared" si="17"/>
        <v>35</v>
      </c>
    </row>
    <row r="44" spans="1:40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H46" s="2">
        <v>46178</v>
      </c>
      <c r="I46" s="2">
        <v>46101</v>
      </c>
      <c r="J46" s="2">
        <v>46064</v>
      </c>
      <c r="L46" s="2">
        <v>46120</v>
      </c>
      <c r="N46" s="2">
        <v>46185</v>
      </c>
      <c r="O46" s="2">
        <v>46164</v>
      </c>
      <c r="P46" s="2">
        <v>46157</v>
      </c>
      <c r="Q46" s="2">
        <v>46157</v>
      </c>
      <c r="R46" s="2">
        <v>46199</v>
      </c>
      <c r="S46" s="1">
        <v>3</v>
      </c>
      <c r="W46" s="1">
        <f t="shared" si="1"/>
        <v>271</v>
      </c>
      <c r="X46" s="1">
        <f t="shared" si="2"/>
        <v>241</v>
      </c>
      <c r="Y46" s="1">
        <f t="shared" si="3"/>
        <v>0</v>
      </c>
      <c r="Z46" s="1">
        <f t="shared" si="4"/>
        <v>261</v>
      </c>
      <c r="AA46" s="1" t="str">
        <f t="shared" si="5"/>
        <v>PAS DE COMMANDE MATIERE</v>
      </c>
      <c r="AB46" s="1">
        <f t="shared" si="6"/>
        <v>32984</v>
      </c>
      <c r="AC46" s="1">
        <f t="shared" si="7"/>
        <v>5</v>
      </c>
      <c r="AD46" s="1">
        <f t="shared" si="8"/>
        <v>246</v>
      </c>
      <c r="AE46" s="1">
        <f t="shared" si="9"/>
        <v>214</v>
      </c>
      <c r="AF46" s="1" t="str">
        <f t="shared" si="10"/>
        <v>PAS DE DATE PAPIER</v>
      </c>
      <c r="AG46" s="1" t="str">
        <f t="shared" si="11"/>
        <v>PAS DE DATE CARTON</v>
      </c>
      <c r="AH46" s="1">
        <f t="shared" si="12"/>
        <v>201</v>
      </c>
      <c r="AI46" s="1">
        <f t="shared" si="13"/>
        <v>174</v>
      </c>
      <c r="AJ46" s="1">
        <f t="shared" si="14"/>
        <v>13</v>
      </c>
      <c r="AK46" s="1">
        <f t="shared" si="19"/>
        <v>32</v>
      </c>
      <c r="AL46" s="1">
        <f t="shared" si="16"/>
        <v>15</v>
      </c>
      <c r="AM46" s="1">
        <f t="shared" si="0"/>
        <v>-22</v>
      </c>
      <c r="AN46" s="1">
        <f t="shared" si="17"/>
        <v>30</v>
      </c>
    </row>
    <row r="47" spans="1:40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45763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-67</v>
      </c>
      <c r="AB77" s="1">
        <f t="shared" si="27"/>
        <v>101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45861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1</v>
      </c>
      <c r="AB81" s="1">
        <f t="shared" si="27"/>
        <v>134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45861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1</v>
      </c>
      <c r="AB82" s="1">
        <f t="shared" si="27"/>
        <v>121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46010</v>
      </c>
      <c r="S128" s="1">
        <v>2</v>
      </c>
      <c r="W128" s="1">
        <f t="shared" si="38"/>
        <v>57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5</v>
      </c>
    </row>
    <row r="129" spans="1:40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45952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9</v>
      </c>
      <c r="AB138" s="1">
        <f t="shared" si="45"/>
        <v>16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G150" s="2">
        <v>46092</v>
      </c>
      <c r="H150" s="2">
        <v>46139</v>
      </c>
      <c r="I150" s="2">
        <v>46135</v>
      </c>
      <c r="J150" s="2">
        <v>46157</v>
      </c>
      <c r="L150" s="2">
        <v>46164</v>
      </c>
      <c r="M150" s="2">
        <v>46058</v>
      </c>
      <c r="N150" s="2">
        <v>46169</v>
      </c>
      <c r="O150" s="2">
        <v>46184</v>
      </c>
      <c r="P150" s="2">
        <v>46206</v>
      </c>
      <c r="Q150" s="2">
        <v>46199</v>
      </c>
      <c r="R150" s="2">
        <v>46206</v>
      </c>
      <c r="S150" s="1">
        <v>2</v>
      </c>
      <c r="W150" s="1">
        <f t="shared" si="38"/>
        <v>178</v>
      </c>
      <c r="X150" s="1">
        <f t="shared" si="39"/>
        <v>173</v>
      </c>
      <c r="Y150" s="1">
        <f t="shared" si="40"/>
        <v>-7</v>
      </c>
      <c r="Z150" s="1">
        <f t="shared" si="44"/>
        <v>151</v>
      </c>
      <c r="AA150" s="1">
        <f t="shared" si="41"/>
        <v>96</v>
      </c>
      <c r="AB150" s="1">
        <f t="shared" si="45"/>
        <v>33</v>
      </c>
      <c r="AC150" s="1">
        <f t="shared" si="46"/>
        <v>22</v>
      </c>
      <c r="AD150" s="1">
        <f t="shared" si="42"/>
        <v>162</v>
      </c>
      <c r="AE150" s="1">
        <f t="shared" si="47"/>
        <v>148</v>
      </c>
      <c r="AF150" s="1" t="str">
        <f t="shared" si="48"/>
        <v>PAS DE DATE PAPIER</v>
      </c>
      <c r="AG150" s="1">
        <f t="shared" si="49"/>
        <v>72</v>
      </c>
      <c r="AH150" s="1">
        <f t="shared" si="50"/>
        <v>127</v>
      </c>
      <c r="AI150" s="1">
        <f t="shared" si="51"/>
        <v>143</v>
      </c>
      <c r="AJ150" s="1">
        <f t="shared" si="52"/>
        <v>5</v>
      </c>
      <c r="AK150" s="1">
        <f t="shared" si="37"/>
        <v>14</v>
      </c>
      <c r="AL150" s="1">
        <f t="shared" si="53"/>
        <v>11</v>
      </c>
      <c r="AM150" s="1">
        <f t="shared" si="43"/>
        <v>11</v>
      </c>
      <c r="AN150" s="1">
        <f t="shared" si="54"/>
        <v>5</v>
      </c>
    </row>
    <row r="151" spans="1:40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G158" s="2">
        <v>46371</v>
      </c>
      <c r="H158" s="2">
        <v>46098</v>
      </c>
      <c r="I158" s="2">
        <v>46097</v>
      </c>
      <c r="J158" s="2">
        <v>46071</v>
      </c>
      <c r="L158" s="2">
        <v>46105</v>
      </c>
      <c r="N158" s="2">
        <v>46051</v>
      </c>
      <c r="O158" s="2">
        <v>46097</v>
      </c>
      <c r="P158" s="2">
        <v>46136</v>
      </c>
      <c r="Q158" s="2">
        <v>46135</v>
      </c>
      <c r="R158" s="2">
        <v>46185</v>
      </c>
      <c r="S158" s="1">
        <v>7</v>
      </c>
      <c r="W158" s="1">
        <f t="shared" si="38"/>
        <v>158</v>
      </c>
      <c r="X158" s="1">
        <f t="shared" si="39"/>
        <v>122</v>
      </c>
      <c r="Y158" s="1">
        <f t="shared" si="40"/>
        <v>-3</v>
      </c>
      <c r="Z158" s="1">
        <f t="shared" si="44"/>
        <v>62</v>
      </c>
      <c r="AA158" s="1">
        <f t="shared" si="41"/>
        <v>290</v>
      </c>
      <c r="AB158" s="1">
        <f t="shared" si="45"/>
        <v>-197</v>
      </c>
      <c r="AC158" s="1">
        <f t="shared" si="46"/>
        <v>-35</v>
      </c>
      <c r="AD158" s="1">
        <f t="shared" si="42"/>
        <v>94</v>
      </c>
      <c r="AE158" s="1">
        <f t="shared" si="47"/>
        <v>100</v>
      </c>
      <c r="AF158" s="1" t="str">
        <f t="shared" si="48"/>
        <v>PAS DE DATE PAPIER</v>
      </c>
      <c r="AG158" s="1" t="str">
        <f t="shared" si="49"/>
        <v>PAS DE DATE CARTON</v>
      </c>
      <c r="AH158" s="1">
        <f t="shared" si="50"/>
        <v>94</v>
      </c>
      <c r="AI158" s="1">
        <f t="shared" si="51"/>
        <v>76</v>
      </c>
      <c r="AJ158" s="1">
        <f t="shared" si="52"/>
        <v>6</v>
      </c>
      <c r="AK158" s="1">
        <f t="shared" si="37"/>
        <v>-8</v>
      </c>
      <c r="AL158" s="1">
        <f t="shared" si="53"/>
        <v>32</v>
      </c>
      <c r="AM158" s="1">
        <f t="shared" si="43"/>
        <v>28</v>
      </c>
      <c r="AN158" s="1">
        <f t="shared" si="54"/>
        <v>36</v>
      </c>
    </row>
    <row r="159" spans="1:40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45999</v>
      </c>
      <c r="H174" s="2">
        <v>46048</v>
      </c>
      <c r="I174" s="2">
        <v>46008</v>
      </c>
      <c r="J174" s="2">
        <v>46058</v>
      </c>
      <c r="L174" s="2">
        <v>46064</v>
      </c>
      <c r="M174" s="2">
        <v>46058</v>
      </c>
      <c r="N174" s="2">
        <v>46164</v>
      </c>
      <c r="O174" s="2">
        <v>46073</v>
      </c>
      <c r="P174" s="2">
        <v>46129</v>
      </c>
      <c r="Q174" s="2">
        <v>46136</v>
      </c>
      <c r="R174" s="2">
        <v>46178</v>
      </c>
      <c r="S174" s="1">
        <v>4</v>
      </c>
      <c r="T174" s="3" t="s">
        <v>399</v>
      </c>
      <c r="W174" s="1">
        <f t="shared" si="38"/>
        <v>138</v>
      </c>
      <c r="X174" s="1">
        <f t="shared" si="39"/>
        <v>108</v>
      </c>
      <c r="Y174" s="1">
        <f t="shared" si="40"/>
        <v>5</v>
      </c>
      <c r="Z174" s="1">
        <f t="shared" si="44"/>
        <v>128</v>
      </c>
      <c r="AA174" s="1">
        <f t="shared" si="41"/>
        <v>9</v>
      </c>
      <c r="AB174" s="1">
        <f t="shared" si="45"/>
        <v>35</v>
      </c>
      <c r="AC174" s="1">
        <f t="shared" si="46"/>
        <v>84</v>
      </c>
      <c r="AD174" s="1">
        <f t="shared" si="42"/>
        <v>63</v>
      </c>
      <c r="AE174" s="1">
        <f t="shared" si="47"/>
        <v>56</v>
      </c>
      <c r="AF174" s="1" t="str">
        <f t="shared" si="48"/>
        <v>PAS DE DATE PAPIER</v>
      </c>
      <c r="AG174" s="1">
        <f t="shared" si="49"/>
        <v>52</v>
      </c>
      <c r="AH174" s="1">
        <f t="shared" si="50"/>
        <v>16</v>
      </c>
      <c r="AI174" s="1">
        <f t="shared" si="51"/>
        <v>52</v>
      </c>
      <c r="AJ174" s="1">
        <f t="shared" si="52"/>
        <v>4</v>
      </c>
      <c r="AK174" s="1">
        <f t="shared" si="55"/>
        <v>7</v>
      </c>
      <c r="AL174" s="1">
        <f t="shared" si="53"/>
        <v>65</v>
      </c>
      <c r="AM174" s="1">
        <f t="shared" si="43"/>
        <v>-22</v>
      </c>
      <c r="AN174" s="1">
        <f t="shared" si="54"/>
        <v>30</v>
      </c>
    </row>
    <row r="175" spans="1:40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H184" s="2">
        <v>46100</v>
      </c>
      <c r="J184" s="2">
        <v>46135</v>
      </c>
      <c r="L184" s="2">
        <v>46146</v>
      </c>
      <c r="N184" s="2">
        <v>46149</v>
      </c>
      <c r="O184" s="2">
        <v>46155</v>
      </c>
      <c r="P184" s="2">
        <v>46185</v>
      </c>
      <c r="Q184" s="2">
        <v>46185</v>
      </c>
      <c r="R184" s="2">
        <v>46185</v>
      </c>
      <c r="S184" s="1">
        <v>1</v>
      </c>
      <c r="W184" s="1">
        <f t="shared" si="38"/>
        <v>128</v>
      </c>
      <c r="X184" s="1">
        <f t="shared" si="39"/>
        <v>128</v>
      </c>
      <c r="Y184" s="1">
        <f t="shared" si="40"/>
        <v>0</v>
      </c>
      <c r="Z184" s="1">
        <f t="shared" si="44"/>
        <v>102</v>
      </c>
      <c r="AA184" s="1" t="str">
        <f t="shared" si="41"/>
        <v>PAS DE COMMANDE MATIERE</v>
      </c>
      <c r="AB184" s="1">
        <f t="shared" si="45"/>
        <v>32928</v>
      </c>
      <c r="AC184" s="1">
        <f t="shared" si="46"/>
        <v>35</v>
      </c>
      <c r="AD184" s="1">
        <f t="shared" si="42"/>
        <v>106</v>
      </c>
      <c r="AE184" s="1">
        <f t="shared" si="47"/>
        <v>99</v>
      </c>
      <c r="AF184" s="1" t="str">
        <f t="shared" si="48"/>
        <v>PAS DE DATE PAPIER</v>
      </c>
      <c r="AG184" s="1" t="str">
        <f t="shared" si="49"/>
        <v>PAS DE DATE CARTON</v>
      </c>
      <c r="AH184" s="1" t="str">
        <f t="shared" si="50"/>
        <v>PAS DE DATE FICHIER</v>
      </c>
      <c r="AI184" s="1">
        <f t="shared" si="51"/>
        <v>92</v>
      </c>
      <c r="AJ184" s="1">
        <f t="shared" si="52"/>
        <v>7</v>
      </c>
      <c r="AK184" s="1">
        <f t="shared" si="55"/>
        <v>7</v>
      </c>
      <c r="AL184" s="1">
        <f t="shared" si="53"/>
        <v>4</v>
      </c>
      <c r="AM184" s="1">
        <f t="shared" si="43"/>
        <v>22</v>
      </c>
      <c r="AN184" s="1">
        <f t="shared" si="54"/>
        <v>0</v>
      </c>
    </row>
    <row r="185" spans="1:40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46013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4</v>
      </c>
      <c r="AC185" s="1">
        <f t="shared" si="46"/>
        <v>21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H187" s="2">
        <v>46112</v>
      </c>
      <c r="I187" s="2">
        <v>46080</v>
      </c>
      <c r="J187" s="2">
        <v>46094</v>
      </c>
      <c r="L187" s="2">
        <v>46114</v>
      </c>
      <c r="M187" s="2">
        <v>46058</v>
      </c>
      <c r="N187" s="2">
        <v>46175</v>
      </c>
      <c r="O187" s="2">
        <v>46114</v>
      </c>
      <c r="P187" s="2">
        <v>46150</v>
      </c>
      <c r="Q187" s="2">
        <v>46142</v>
      </c>
      <c r="R187" s="2">
        <v>46192</v>
      </c>
      <c r="S187" s="1">
        <v>6</v>
      </c>
      <c r="W187" s="1">
        <f t="shared" si="38"/>
        <v>131</v>
      </c>
      <c r="X187" s="1">
        <f t="shared" si="39"/>
        <v>95</v>
      </c>
      <c r="Y187" s="1">
        <f t="shared" si="40"/>
        <v>-8</v>
      </c>
      <c r="Z187" s="1">
        <f t="shared" si="44"/>
        <v>118</v>
      </c>
      <c r="AA187" s="1">
        <f t="shared" si="41"/>
        <v>4</v>
      </c>
      <c r="AB187" s="1">
        <f t="shared" si="45"/>
        <v>69</v>
      </c>
      <c r="AC187" s="1">
        <f t="shared" si="46"/>
        <v>45</v>
      </c>
      <c r="AD187" s="1">
        <f t="shared" si="42"/>
        <v>75</v>
      </c>
      <c r="AE187" s="1">
        <f t="shared" si="47"/>
        <v>75</v>
      </c>
      <c r="AF187" s="1" t="str">
        <f t="shared" si="48"/>
        <v>PAS DE DATE PAPIER</v>
      </c>
      <c r="AG187" s="1">
        <f t="shared" si="49"/>
        <v>35</v>
      </c>
      <c r="AH187" s="1">
        <f t="shared" si="50"/>
        <v>51</v>
      </c>
      <c r="AI187" s="1">
        <f t="shared" si="51"/>
        <v>61</v>
      </c>
      <c r="AJ187" s="1">
        <f t="shared" si="52"/>
        <v>14</v>
      </c>
      <c r="AK187" s="1">
        <f t="shared" si="55"/>
        <v>0</v>
      </c>
      <c r="AL187" s="1">
        <f t="shared" si="53"/>
        <v>43</v>
      </c>
      <c r="AM187" s="1">
        <f t="shared" si="43"/>
        <v>-25</v>
      </c>
      <c r="AN187" s="1">
        <f t="shared" si="54"/>
        <v>36</v>
      </c>
    </row>
    <row r="188" spans="1:40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5" si="56">IF($R191="","NON LIVRE",NETWORKDAYS($F191,$R191)-1)</f>
        <v>106</v>
      </c>
      <c r="X191" s="1">
        <f t="shared" ref="X191:X255" si="57">IF($Q191="","NON LIVRE",NETWORKDAYS($F191,$Q191)-1)</f>
        <v>101</v>
      </c>
      <c r="Y191" s="1">
        <f t="shared" ref="Y191:Y255" si="58">IF($Q191="","NON LIVRE",NETWORKDAYS($P191,$Q191)-1)</f>
        <v>-12</v>
      </c>
      <c r="Z191" s="1">
        <f t="shared" si="44"/>
        <v>79</v>
      </c>
      <c r="AA191" s="1">
        <f t="shared" ref="AA191:AA255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5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7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8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8" si="63">IFERROR(IF($R195="","NON LIVRE",IF($H195="","PAS DE COMMANDE MATIERE",NETWORKDAYS($G195,$H195)-1)),$H195)</f>
        <v>46051</v>
      </c>
      <c r="AC195" s="1">
        <f t="shared" ref="AC195:AC258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8" si="65">IFERROR(IF($R195="","NON LIVRE",IF($L195="","PAS DE DATE IMPRESSION",NETWORKDAYS($F195,$L195)-1)),$L195)</f>
        <v>11</v>
      </c>
      <c r="AF195" s="1" t="str">
        <f t="shared" ref="AF195:AF258" si="66">IFERROR(IF($R195="","NON LIVRE",IF($K195="","PAS DE DATE PAPIER",NETWORKDAYS($F195,$K195)-1)),$K195)</f>
        <v>PAS DE DATE PAPIER</v>
      </c>
      <c r="AG195" s="1" t="str">
        <f t="shared" ref="AG195:AG258" si="67">IFERROR(IF($R195="","NON LIVRE",IF($M195="","PAS DE DATE CARTON",NETWORKDAYS($F195,$M195)-1)),$M195)</f>
        <v>PAS DE DATE CARTON</v>
      </c>
      <c r="AH195" s="1">
        <f t="shared" ref="AH195:AH258" si="68">IFERROR(IF($R195="","NON LIVRE",IF($I195="","PAS DE DATE FICHIER",NETWORKDAYS($F195,$I195)-1)),$I195)</f>
        <v>1</v>
      </c>
      <c r="AI195" s="1" t="str">
        <f t="shared" ref="AI195:AI258" si="69">IFERROR(IF($R195="","NON LIVRE",IF($J195="","PAS DE DATE VALIDATION MODELE CLIENT",NETWORKDAYS($F195,$J195)-1)),$J195)</f>
        <v>ANC FAB</v>
      </c>
      <c r="AJ195" s="1">
        <f t="shared" ref="AJ195:AJ258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8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x14ac:dyDescent="0.3">
      <c r="A203" s="1">
        <v>26011</v>
      </c>
      <c r="B203" s="1" t="s">
        <v>34</v>
      </c>
      <c r="C203" s="3" t="s">
        <v>425</v>
      </c>
      <c r="D203" s="4">
        <v>800</v>
      </c>
      <c r="E203" s="2" t="s">
        <v>398</v>
      </c>
      <c r="F203" s="2">
        <v>46042</v>
      </c>
      <c r="G203" s="2">
        <v>46056</v>
      </c>
      <c r="H203" s="2">
        <v>46178</v>
      </c>
      <c r="I203" s="2">
        <v>46164</v>
      </c>
      <c r="L203" s="2">
        <v>46176</v>
      </c>
      <c r="M203" s="2">
        <v>46086</v>
      </c>
      <c r="N203" s="2">
        <v>46178</v>
      </c>
      <c r="O203" s="2">
        <v>46177</v>
      </c>
      <c r="P203" s="2">
        <v>46206</v>
      </c>
      <c r="Q203" s="2">
        <v>46198</v>
      </c>
      <c r="R203" s="2">
        <v>46198</v>
      </c>
      <c r="S203" s="1">
        <v>1</v>
      </c>
      <c r="W203" s="1">
        <f t="shared" si="56"/>
        <v>112</v>
      </c>
      <c r="X203" s="1">
        <f t="shared" si="57"/>
        <v>112</v>
      </c>
      <c r="Y203" s="1">
        <f t="shared" si="58"/>
        <v>-8</v>
      </c>
      <c r="Z203" s="1">
        <f t="shared" si="62"/>
        <v>98</v>
      </c>
      <c r="AA203" s="1">
        <f t="shared" si="59"/>
        <v>10</v>
      </c>
      <c r="AB203" s="1">
        <f t="shared" si="63"/>
        <v>88</v>
      </c>
      <c r="AC203" s="1">
        <f t="shared" si="64"/>
        <v>0</v>
      </c>
      <c r="AD203" s="1">
        <f t="shared" si="60"/>
        <v>97</v>
      </c>
      <c r="AE203" s="1">
        <f t="shared" si="65"/>
        <v>96</v>
      </c>
      <c r="AF203" s="1" t="str">
        <f t="shared" si="66"/>
        <v>PAS DE DATE PAPIER</v>
      </c>
      <c r="AG203" s="1">
        <f t="shared" si="67"/>
        <v>32</v>
      </c>
      <c r="AH203" s="1">
        <f t="shared" si="68"/>
        <v>88</v>
      </c>
      <c r="AI203" s="1" t="str">
        <f t="shared" si="69"/>
        <v>PAS DE DATE VALIDATION MODELE CLIENT</v>
      </c>
      <c r="AJ203" s="1">
        <f t="shared" si="70"/>
        <v>8</v>
      </c>
      <c r="AK203" s="1">
        <f t="shared" si="55"/>
        <v>1</v>
      </c>
      <c r="AL203" s="1">
        <f t="shared" si="71"/>
        <v>1</v>
      </c>
      <c r="AM203" s="1">
        <f t="shared" si="61"/>
        <v>14</v>
      </c>
      <c r="AN203" s="1">
        <f t="shared" si="72"/>
        <v>0</v>
      </c>
    </row>
    <row r="204" spans="1:40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x14ac:dyDescent="0.3">
      <c r="A205" s="1">
        <v>26013</v>
      </c>
      <c r="B205" s="1" t="s">
        <v>34</v>
      </c>
      <c r="C205" s="3" t="s">
        <v>436</v>
      </c>
      <c r="D205" s="4">
        <v>700</v>
      </c>
      <c r="E205" s="2" t="s">
        <v>398</v>
      </c>
      <c r="F205" s="2">
        <v>46042</v>
      </c>
      <c r="G205" s="2">
        <v>46057</v>
      </c>
      <c r="H205" s="2">
        <v>46076</v>
      </c>
      <c r="I205" s="2">
        <v>46164</v>
      </c>
      <c r="L205" s="2">
        <v>46176</v>
      </c>
      <c r="M205" s="2">
        <v>46086</v>
      </c>
      <c r="N205" s="2">
        <v>46178</v>
      </c>
      <c r="O205" s="2">
        <v>46177</v>
      </c>
      <c r="P205" s="2">
        <v>46213</v>
      </c>
      <c r="Q205" s="2">
        <v>46206</v>
      </c>
      <c r="R205" s="2">
        <v>46206</v>
      </c>
      <c r="S205" s="1">
        <v>1</v>
      </c>
      <c r="W205" s="1" t="e">
        <f>IF($R205="","NON LIVRE",NETWORKDAYS(#REF!,$R205)-1)</f>
        <v>#REF!</v>
      </c>
      <c r="X205" s="1" t="e">
        <f>IF($Q205="","NON LIVRE",NETWORKDAYS(#REF!,$Q205)-1)</f>
        <v>#REF!</v>
      </c>
      <c r="Y205" s="1">
        <f t="shared" si="58"/>
        <v>-7</v>
      </c>
      <c r="Z205" s="1">
        <f>IFERROR(IF($R205="","NON LIVRE",IF($N205="","PAS DE DEPART MATIERE",NETWORKDAYS(#REF!,$N205)-1)),$N205)</f>
        <v>46178</v>
      </c>
      <c r="AA205" s="1">
        <f>IFERROR(IF($R205="","NON LIVRE",IF($G205="","PAS DE COMMANDE MATIERE",NETWORKDAYS(#REF!,$G205)-1)),$G205)</f>
        <v>46057</v>
      </c>
      <c r="AB205" s="1">
        <f t="shared" si="63"/>
        <v>13</v>
      </c>
      <c r="AC205" s="1">
        <f t="shared" si="64"/>
        <v>74</v>
      </c>
      <c r="AD205" s="1">
        <f>IFERROR(IF($R205="","NON LIVRE",IF($O205="","PAS DE DEPART TIRAGES OU ACHATS",NETWORKDAYS(#REF!,$O205)-1)),$O205)</f>
        <v>46177</v>
      </c>
      <c r="AE205" s="1">
        <f>IFERROR(IF($R205="","NON LIVRE",IF($L205="","PAS DE DATE IMPRESSION",NETWORKDAYS(#REF!,$L205)-1)),$L205)</f>
        <v>46176</v>
      </c>
      <c r="AF205" s="1" t="str">
        <f>IFERROR(IF($R205="","NON LIVRE",IF($K205="","PAS DE DATE PAPIER",NETWORKDAYS(#REF!,$K205)-1)),$K205)</f>
        <v>PAS DE DATE PAPIER</v>
      </c>
      <c r="AG205" s="1">
        <f>IFERROR(IF($R205="","NON LIVRE",IF($M205="","PAS DE DATE CARTON",NETWORKDAYS(#REF!,$M205)-1)),$M205)</f>
        <v>46086</v>
      </c>
      <c r="AH205" s="1">
        <f>IFERROR(IF($R205="","NON LIVRE",IF($I205="","PAS DE DATE FICHIER",NETWORKDAYS(#REF!,$I205)-1)),$I205)</f>
        <v>46164</v>
      </c>
      <c r="AI205" s="1" t="str">
        <f>IFERROR(IF($R205="","NON LIVRE",IF($J205="","PAS DE DATE VALIDATION MODELE CLIENT",NETWORKDAYS(#REF!,$J205)-1)),$J205)</f>
        <v>PAS DE DATE VALIDATION MODELE CLIENT</v>
      </c>
      <c r="AJ205" s="1">
        <f t="shared" si="70"/>
        <v>8</v>
      </c>
      <c r="AK205" s="1">
        <f t="shared" si="55"/>
        <v>1</v>
      </c>
      <c r="AL205" s="1">
        <f t="shared" si="71"/>
        <v>1</v>
      </c>
      <c r="AM205" s="1">
        <f t="shared" si="61"/>
        <v>20</v>
      </c>
      <c r="AN205" s="1">
        <f t="shared" si="72"/>
        <v>0</v>
      </c>
    </row>
    <row r="206" spans="1:40" x14ac:dyDescent="0.3">
      <c r="A206" s="1">
        <v>26014</v>
      </c>
      <c r="B206" s="1" t="s">
        <v>34</v>
      </c>
      <c r="C206" s="3" t="s">
        <v>437</v>
      </c>
      <c r="D206" s="4">
        <v>800</v>
      </c>
      <c r="E206" s="2" t="s">
        <v>398</v>
      </c>
      <c r="F206" s="2">
        <v>46042</v>
      </c>
      <c r="G206" s="2">
        <v>46153</v>
      </c>
      <c r="H206" s="2">
        <v>46182</v>
      </c>
      <c r="I206" s="2">
        <v>46164</v>
      </c>
      <c r="J206" s="2">
        <v>46178</v>
      </c>
      <c r="L206" s="2">
        <v>46188</v>
      </c>
      <c r="M206" s="2">
        <v>46086</v>
      </c>
      <c r="N206" s="2">
        <v>46192</v>
      </c>
      <c r="O206" s="2">
        <v>46191</v>
      </c>
      <c r="P206" s="2">
        <v>46213</v>
      </c>
      <c r="Q206" s="2">
        <v>46206</v>
      </c>
      <c r="R206" s="2">
        <v>46206</v>
      </c>
      <c r="S206" s="1">
        <v>1</v>
      </c>
      <c r="W206" s="1" t="e">
        <f>IF($R206="","NON LIVRE",NETWORKDAYS(#REF!,$R206)-1)</f>
        <v>#REF!</v>
      </c>
      <c r="X206" s="1" t="e">
        <f>IF($Q206="","NON LIVRE",NETWORKDAYS(#REF!,$Q206)-1)</f>
        <v>#REF!</v>
      </c>
      <c r="Y206" s="1">
        <f t="shared" si="58"/>
        <v>-7</v>
      </c>
      <c r="Z206" s="1">
        <f>IFERROR(IF($R206="","NON LIVRE",IF($N206="","PAS DE DEPART MATIERE",NETWORKDAYS(#REF!,$N206)-1)),$N206)</f>
        <v>46192</v>
      </c>
      <c r="AA206" s="1">
        <f>IFERROR(IF($R206="","NON LIVRE",IF($G206="","PAS DE COMMANDE MATIERE",NETWORKDAYS(#REF!,$G206)-1)),$G206)</f>
        <v>46153</v>
      </c>
      <c r="AB206" s="1">
        <f t="shared" si="63"/>
        <v>21</v>
      </c>
      <c r="AC206" s="1">
        <f t="shared" si="64"/>
        <v>8</v>
      </c>
      <c r="AD206" s="1">
        <f>IFERROR(IF($R206="","NON LIVRE",IF($O206="","PAS DE DEPART TIRAGES OU ACHATS",NETWORKDAYS(#REF!,$O206)-1)),$O206)</f>
        <v>46191</v>
      </c>
      <c r="AE206" s="1">
        <f>IFERROR(IF($R206="","NON LIVRE",IF($L206="","PAS DE DATE IMPRESSION",NETWORKDAYS(#REF!,$L206)-1)),$L206)</f>
        <v>46188</v>
      </c>
      <c r="AF206" s="1" t="str">
        <f>IFERROR(IF($R206="","NON LIVRE",IF($K206="","PAS DE DATE PAPIER",NETWORKDAYS(#REF!,$K206)-1)),$K206)</f>
        <v>PAS DE DATE PAPIER</v>
      </c>
      <c r="AG206" s="1">
        <f>IFERROR(IF($R206="","NON LIVRE",IF($M206="","PAS DE DATE CARTON",NETWORKDAYS(#REF!,$M206)-1)),$M206)</f>
        <v>46086</v>
      </c>
      <c r="AH206" s="1">
        <f>IFERROR(IF($R206="","NON LIVRE",IF($I206="","PAS DE DATE FICHIER",NETWORKDAYS(#REF!,$I206)-1)),$I206)</f>
        <v>46164</v>
      </c>
      <c r="AI206" s="1">
        <f>IFERROR(IF($R206="","NON LIVRE",IF($J206="","PAS DE DATE VALIDATION MODELE CLIENT",NETWORKDAYS(#REF!,$J206)-1)),$J206)</f>
        <v>46178</v>
      </c>
      <c r="AJ206" s="1">
        <f t="shared" si="70"/>
        <v>6</v>
      </c>
      <c r="AK206" s="1">
        <f t="shared" si="55"/>
        <v>3</v>
      </c>
      <c r="AL206" s="1">
        <f t="shared" si="71"/>
        <v>1</v>
      </c>
      <c r="AM206" s="1">
        <f t="shared" si="61"/>
        <v>10</v>
      </c>
      <c r="AN206" s="1">
        <f t="shared" si="72"/>
        <v>0</v>
      </c>
    </row>
    <row r="207" spans="1:40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x14ac:dyDescent="0.3">
      <c r="A213" s="1">
        <v>26021</v>
      </c>
      <c r="B213" s="1" t="s">
        <v>35</v>
      </c>
      <c r="C213" s="3" t="s">
        <v>400</v>
      </c>
      <c r="D213" s="4">
        <v>2500</v>
      </c>
      <c r="E213" s="2" t="s">
        <v>128</v>
      </c>
      <c r="F213" s="2">
        <v>46057</v>
      </c>
      <c r="G213" s="2">
        <v>46059</v>
      </c>
      <c r="H213" s="2">
        <v>46129</v>
      </c>
      <c r="I213" s="2">
        <v>46078</v>
      </c>
      <c r="J213" s="2">
        <v>46071</v>
      </c>
      <c r="K213" s="2">
        <v>46080</v>
      </c>
      <c r="L213" s="2">
        <v>46119</v>
      </c>
      <c r="M213" s="2">
        <v>46086</v>
      </c>
      <c r="N213" s="2">
        <v>46106</v>
      </c>
      <c r="O213" s="2">
        <v>46128</v>
      </c>
      <c r="P213" s="2">
        <v>46157</v>
      </c>
      <c r="Q213" s="2">
        <v>46157</v>
      </c>
      <c r="R213" s="2">
        <v>46178</v>
      </c>
      <c r="S213" s="1">
        <v>3</v>
      </c>
      <c r="T213" s="3" t="s">
        <v>401</v>
      </c>
      <c r="W213" s="1">
        <f t="shared" si="56"/>
        <v>87</v>
      </c>
      <c r="X213" s="1">
        <f t="shared" si="57"/>
        <v>72</v>
      </c>
      <c r="Y213" s="1">
        <f t="shared" si="58"/>
        <v>0</v>
      </c>
      <c r="Z213" s="1">
        <f t="shared" si="62"/>
        <v>35</v>
      </c>
      <c r="AA213" s="1">
        <f t="shared" si="59"/>
        <v>2</v>
      </c>
      <c r="AB213" s="1">
        <f t="shared" si="63"/>
        <v>50</v>
      </c>
      <c r="AC213" s="1">
        <f t="shared" si="64"/>
        <v>-19</v>
      </c>
      <c r="AD213" s="1">
        <f t="shared" si="60"/>
        <v>51</v>
      </c>
      <c r="AE213" s="1">
        <f t="shared" si="65"/>
        <v>44</v>
      </c>
      <c r="AF213" s="1">
        <f t="shared" si="66"/>
        <v>17</v>
      </c>
      <c r="AG213" s="1">
        <f t="shared" si="67"/>
        <v>21</v>
      </c>
      <c r="AH213" s="1">
        <f t="shared" si="68"/>
        <v>15</v>
      </c>
      <c r="AI213" s="1">
        <f t="shared" si="69"/>
        <v>10</v>
      </c>
      <c r="AJ213" s="1">
        <f t="shared" si="70"/>
        <v>29</v>
      </c>
      <c r="AK213" s="1">
        <f t="shared" si="55"/>
        <v>7</v>
      </c>
      <c r="AL213" s="1">
        <f t="shared" si="71"/>
        <v>16</v>
      </c>
      <c r="AM213" s="1">
        <f t="shared" si="61"/>
        <v>21</v>
      </c>
      <c r="AN213" s="1">
        <f t="shared" si="72"/>
        <v>15</v>
      </c>
    </row>
    <row r="214" spans="1:40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 t="str">
        <f t="shared" si="62"/>
        <v>PAS DE DEPART MATIERE</v>
      </c>
      <c r="AA214" s="1">
        <f t="shared" si="59"/>
        <v>1</v>
      </c>
      <c r="AB214" s="1">
        <f t="shared" si="63"/>
        <v>7</v>
      </c>
      <c r="AC214" s="1" t="str">
        <f t="shared" si="64"/>
        <v>PAS DE COMMANDE MATIERE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0</v>
      </c>
      <c r="AM214" s="1">
        <f t="shared" si="61"/>
        <v>21</v>
      </c>
      <c r="AN214" s="1" t="str">
        <f t="shared" si="72"/>
        <v>PAS D'IMPRESSION</v>
      </c>
    </row>
    <row r="215" spans="1:40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x14ac:dyDescent="0.3">
      <c r="A218" s="1">
        <v>26026</v>
      </c>
      <c r="B218" s="1" t="s">
        <v>51</v>
      </c>
      <c r="C218" s="3" t="s">
        <v>407</v>
      </c>
      <c r="D218" s="4">
        <v>12900</v>
      </c>
      <c r="E218" s="2" t="s">
        <v>398</v>
      </c>
      <c r="F218" s="2">
        <v>46062</v>
      </c>
      <c r="G218" s="2">
        <v>46057</v>
      </c>
      <c r="H218" s="2">
        <v>46148</v>
      </c>
      <c r="I218" s="2">
        <v>46136</v>
      </c>
      <c r="J218" s="2">
        <v>46097</v>
      </c>
      <c r="K218" s="2">
        <v>46114</v>
      </c>
      <c r="L218" s="2">
        <v>46136</v>
      </c>
      <c r="M218" s="2">
        <v>46093</v>
      </c>
      <c r="N218" s="2">
        <v>46119</v>
      </c>
      <c r="O218" s="2">
        <v>46164</v>
      </c>
      <c r="P218" s="2">
        <v>46133</v>
      </c>
      <c r="Q218" s="2">
        <v>46161</v>
      </c>
      <c r="R218" s="2">
        <v>46185</v>
      </c>
      <c r="S218" s="1">
        <v>5</v>
      </c>
      <c r="W218" s="1">
        <f t="shared" si="56"/>
        <v>89</v>
      </c>
      <c r="X218" s="1">
        <f t="shared" si="57"/>
        <v>71</v>
      </c>
      <c r="Y218" s="1">
        <f t="shared" si="58"/>
        <v>20</v>
      </c>
      <c r="Z218" s="1">
        <f t="shared" si="62"/>
        <v>41</v>
      </c>
      <c r="AA218" s="1">
        <f t="shared" si="59"/>
        <v>-5</v>
      </c>
      <c r="AB218" s="1">
        <f t="shared" si="63"/>
        <v>65</v>
      </c>
      <c r="AC218" s="1">
        <f t="shared" si="64"/>
        <v>-23</v>
      </c>
      <c r="AD218" s="1">
        <f t="shared" si="60"/>
        <v>74</v>
      </c>
      <c r="AE218" s="1">
        <f t="shared" si="65"/>
        <v>54</v>
      </c>
      <c r="AF218" s="1">
        <f t="shared" si="66"/>
        <v>38</v>
      </c>
      <c r="AG218" s="1">
        <f t="shared" si="67"/>
        <v>23</v>
      </c>
      <c r="AH218" s="1">
        <f t="shared" si="68"/>
        <v>54</v>
      </c>
      <c r="AI218" s="1">
        <f t="shared" si="69"/>
        <v>25</v>
      </c>
      <c r="AJ218" s="1">
        <f t="shared" si="70"/>
        <v>0</v>
      </c>
      <c r="AK218" s="1">
        <f t="shared" si="55"/>
        <v>20</v>
      </c>
      <c r="AL218" s="1">
        <f t="shared" si="71"/>
        <v>33</v>
      </c>
      <c r="AM218" s="1">
        <f t="shared" si="61"/>
        <v>-5</v>
      </c>
      <c r="AN218" s="1">
        <f t="shared" si="72"/>
        <v>18</v>
      </c>
    </row>
    <row r="219" spans="1:40" x14ac:dyDescent="0.3">
      <c r="A219" s="1">
        <v>26027</v>
      </c>
      <c r="B219" s="1" t="s">
        <v>51</v>
      </c>
      <c r="C219" s="3" t="s">
        <v>408</v>
      </c>
      <c r="D219" s="4">
        <v>7800</v>
      </c>
      <c r="E219" s="2" t="s">
        <v>398</v>
      </c>
      <c r="F219" s="2">
        <v>46062</v>
      </c>
      <c r="G219" s="2">
        <v>46057</v>
      </c>
      <c r="H219" s="2">
        <v>46148</v>
      </c>
      <c r="I219" s="2">
        <v>46136</v>
      </c>
      <c r="J219" s="2">
        <v>46097</v>
      </c>
      <c r="K219" s="2">
        <v>46114</v>
      </c>
      <c r="L219" s="2">
        <v>46136</v>
      </c>
      <c r="M219" s="2">
        <v>46093</v>
      </c>
      <c r="N219" s="2">
        <v>46119</v>
      </c>
      <c r="O219" s="2">
        <v>46164</v>
      </c>
      <c r="P219" s="2">
        <v>46133</v>
      </c>
      <c r="Q219" s="2">
        <v>46161</v>
      </c>
      <c r="R219" s="2">
        <v>46185</v>
      </c>
      <c r="S219" s="1">
        <v>5</v>
      </c>
      <c r="W219" s="1">
        <f t="shared" si="56"/>
        <v>89</v>
      </c>
      <c r="X219" s="1">
        <f t="shared" si="57"/>
        <v>71</v>
      </c>
      <c r="Y219" s="1">
        <f t="shared" si="58"/>
        <v>20</v>
      </c>
      <c r="Z219" s="1">
        <f t="shared" si="62"/>
        <v>41</v>
      </c>
      <c r="AA219" s="1">
        <f t="shared" si="59"/>
        <v>-5</v>
      </c>
      <c r="AB219" s="1">
        <f t="shared" si="63"/>
        <v>65</v>
      </c>
      <c r="AC219" s="1">
        <f t="shared" si="64"/>
        <v>-23</v>
      </c>
      <c r="AD219" s="1">
        <f t="shared" si="60"/>
        <v>74</v>
      </c>
      <c r="AE219" s="1">
        <f t="shared" si="65"/>
        <v>54</v>
      </c>
      <c r="AF219" s="1">
        <f t="shared" si="66"/>
        <v>38</v>
      </c>
      <c r="AG219" s="1">
        <f t="shared" si="67"/>
        <v>23</v>
      </c>
      <c r="AH219" s="1">
        <f t="shared" si="68"/>
        <v>54</v>
      </c>
      <c r="AI219" s="1">
        <f t="shared" si="69"/>
        <v>25</v>
      </c>
      <c r="AJ219" s="1">
        <f t="shared" si="70"/>
        <v>0</v>
      </c>
      <c r="AK219" s="1">
        <f t="shared" si="55"/>
        <v>20</v>
      </c>
      <c r="AL219" s="1">
        <f t="shared" si="71"/>
        <v>33</v>
      </c>
      <c r="AM219" s="1">
        <f t="shared" si="61"/>
        <v>-5</v>
      </c>
      <c r="AN219" s="1">
        <f t="shared" si="72"/>
        <v>18</v>
      </c>
    </row>
    <row r="220" spans="1:40" x14ac:dyDescent="0.3">
      <c r="A220" s="1">
        <v>26028</v>
      </c>
      <c r="B220" s="1" t="s">
        <v>51</v>
      </c>
      <c r="C220" s="3" t="s">
        <v>412</v>
      </c>
      <c r="D220" s="4">
        <v>8000</v>
      </c>
      <c r="E220" s="2" t="s">
        <v>398</v>
      </c>
      <c r="F220" s="2">
        <v>46062</v>
      </c>
      <c r="G220" s="2">
        <v>46078</v>
      </c>
      <c r="H220" s="2">
        <v>46167</v>
      </c>
      <c r="I220" s="2">
        <v>46136</v>
      </c>
      <c r="J220" s="2">
        <v>46097</v>
      </c>
      <c r="K220" s="2">
        <v>46136</v>
      </c>
      <c r="L220" s="2">
        <v>46153</v>
      </c>
      <c r="M220" s="2">
        <v>46086</v>
      </c>
      <c r="N220" s="2">
        <v>46169</v>
      </c>
      <c r="O220" s="2">
        <v>46163</v>
      </c>
      <c r="P220" s="2">
        <v>46192</v>
      </c>
      <c r="Q220" s="2">
        <v>46192</v>
      </c>
      <c r="R220" s="2">
        <v>46199</v>
      </c>
      <c r="S220" s="1">
        <v>2</v>
      </c>
      <c r="W220" s="1">
        <f t="shared" si="56"/>
        <v>99</v>
      </c>
      <c r="X220" s="1">
        <f t="shared" si="57"/>
        <v>94</v>
      </c>
      <c r="Y220" s="1">
        <f t="shared" si="58"/>
        <v>0</v>
      </c>
      <c r="Z220" s="1">
        <f t="shared" si="62"/>
        <v>77</v>
      </c>
      <c r="AA220" s="1">
        <f t="shared" si="59"/>
        <v>12</v>
      </c>
      <c r="AB220" s="1">
        <f t="shared" si="63"/>
        <v>63</v>
      </c>
      <c r="AC220" s="1">
        <f t="shared" si="64"/>
        <v>2</v>
      </c>
      <c r="AD220" s="1">
        <f t="shared" si="60"/>
        <v>73</v>
      </c>
      <c r="AE220" s="1">
        <f t="shared" si="65"/>
        <v>65</v>
      </c>
      <c r="AF220" s="1">
        <f t="shared" si="66"/>
        <v>54</v>
      </c>
      <c r="AG220" s="1">
        <f t="shared" si="67"/>
        <v>18</v>
      </c>
      <c r="AH220" s="1">
        <f t="shared" si="68"/>
        <v>54</v>
      </c>
      <c r="AI220" s="1">
        <f t="shared" si="69"/>
        <v>25</v>
      </c>
      <c r="AJ220" s="1">
        <f t="shared" si="70"/>
        <v>11</v>
      </c>
      <c r="AK220" s="1">
        <f t="shared" si="55"/>
        <v>8</v>
      </c>
      <c r="AL220" s="1">
        <f t="shared" si="71"/>
        <v>4</v>
      </c>
      <c r="AM220" s="1">
        <f t="shared" si="61"/>
        <v>17</v>
      </c>
      <c r="AN220" s="1">
        <f t="shared" si="72"/>
        <v>5</v>
      </c>
    </row>
    <row r="221" spans="1:40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x14ac:dyDescent="0.3">
      <c r="A224" s="1">
        <v>26032</v>
      </c>
      <c r="B224" s="1" t="s">
        <v>35</v>
      </c>
      <c r="C224" s="3" t="s">
        <v>409</v>
      </c>
      <c r="D224" s="4">
        <v>600</v>
      </c>
      <c r="F224" s="2">
        <v>46064</v>
      </c>
      <c r="G224" s="2">
        <v>46064</v>
      </c>
      <c r="H224" s="2">
        <v>46076</v>
      </c>
      <c r="I224" s="2">
        <v>46105</v>
      </c>
      <c r="J224" s="2" t="s">
        <v>315</v>
      </c>
      <c r="L224" s="2">
        <v>46127</v>
      </c>
      <c r="M224" s="2">
        <v>46086</v>
      </c>
      <c r="N224" s="2">
        <v>46112</v>
      </c>
      <c r="O224" s="2">
        <v>46164</v>
      </c>
      <c r="P224" s="2">
        <v>46171</v>
      </c>
      <c r="Q224" s="2">
        <v>46185</v>
      </c>
      <c r="R224" s="2">
        <v>46185</v>
      </c>
      <c r="S224" s="1">
        <v>1</v>
      </c>
      <c r="W224" s="1">
        <f t="shared" si="56"/>
        <v>87</v>
      </c>
      <c r="X224" s="1">
        <f t="shared" si="57"/>
        <v>87</v>
      </c>
      <c r="Y224" s="1">
        <f t="shared" si="58"/>
        <v>10</v>
      </c>
      <c r="Z224" s="1">
        <f t="shared" si="62"/>
        <v>34</v>
      </c>
      <c r="AA224" s="1">
        <f t="shared" si="59"/>
        <v>0</v>
      </c>
      <c r="AB224" s="1">
        <f t="shared" si="63"/>
        <v>8</v>
      </c>
      <c r="AC224" s="1">
        <f t="shared" si="64"/>
        <v>26</v>
      </c>
      <c r="AD224" s="1">
        <f t="shared" si="60"/>
        <v>72</v>
      </c>
      <c r="AE224" s="1">
        <f t="shared" si="65"/>
        <v>45</v>
      </c>
      <c r="AF224" s="1" t="str">
        <f t="shared" si="66"/>
        <v>PAS DE DATE PAPIER</v>
      </c>
      <c r="AG224" s="1">
        <f t="shared" si="67"/>
        <v>16</v>
      </c>
      <c r="AH224" s="1">
        <f t="shared" si="68"/>
        <v>29</v>
      </c>
      <c r="AI224" s="1" t="str">
        <f t="shared" si="69"/>
        <v>ANC FAB</v>
      </c>
      <c r="AJ224" s="1">
        <f t="shared" si="70"/>
        <v>16</v>
      </c>
      <c r="AK224" s="1">
        <f t="shared" si="55"/>
        <v>27</v>
      </c>
      <c r="AL224" s="1">
        <f t="shared" si="71"/>
        <v>38</v>
      </c>
      <c r="AM224" s="1">
        <f t="shared" si="61"/>
        <v>15</v>
      </c>
      <c r="AN224" s="1">
        <f t="shared" si="72"/>
        <v>0</v>
      </c>
    </row>
    <row r="225" spans="1:40" x14ac:dyDescent="0.3">
      <c r="A225" s="1">
        <v>26033</v>
      </c>
      <c r="B225" s="1" t="s">
        <v>17</v>
      </c>
      <c r="C225" s="3" t="s">
        <v>438</v>
      </c>
      <c r="D225" s="4">
        <v>4500</v>
      </c>
      <c r="F225" s="2">
        <v>46069</v>
      </c>
      <c r="G225" s="2">
        <v>46079</v>
      </c>
      <c r="H225" s="2">
        <v>46140</v>
      </c>
      <c r="I225" s="2">
        <v>46141</v>
      </c>
      <c r="J225" s="2" t="s">
        <v>315</v>
      </c>
      <c r="L225" s="2">
        <v>46168</v>
      </c>
      <c r="M225" s="2">
        <v>46093</v>
      </c>
      <c r="N225" s="2">
        <v>46155</v>
      </c>
      <c r="O225" s="2">
        <v>46177</v>
      </c>
      <c r="P225" s="2">
        <v>46199</v>
      </c>
      <c r="Q225" s="2">
        <v>46199</v>
      </c>
      <c r="R225" s="2">
        <v>46206</v>
      </c>
      <c r="S225" s="1">
        <v>2</v>
      </c>
      <c r="W225" s="1">
        <f t="shared" si="56"/>
        <v>99</v>
      </c>
      <c r="X225" s="1">
        <f t="shared" si="57"/>
        <v>94</v>
      </c>
      <c r="Y225" s="1">
        <f t="shared" si="58"/>
        <v>0</v>
      </c>
      <c r="Z225" s="1">
        <f t="shared" si="62"/>
        <v>62</v>
      </c>
      <c r="AA225" s="1">
        <f t="shared" si="59"/>
        <v>8</v>
      </c>
      <c r="AB225" s="1">
        <f t="shared" si="63"/>
        <v>43</v>
      </c>
      <c r="AC225" s="1">
        <f t="shared" si="64"/>
        <v>11</v>
      </c>
      <c r="AD225" s="1">
        <f t="shared" si="60"/>
        <v>78</v>
      </c>
      <c r="AE225" s="1">
        <f t="shared" si="65"/>
        <v>71</v>
      </c>
      <c r="AF225" s="1" t="str">
        <f t="shared" si="66"/>
        <v>PAS DE DATE PAPIER</v>
      </c>
      <c r="AG225" s="1">
        <f t="shared" si="67"/>
        <v>18</v>
      </c>
      <c r="AH225" s="1">
        <f t="shared" si="68"/>
        <v>52</v>
      </c>
      <c r="AI225" s="1" t="str">
        <f t="shared" si="69"/>
        <v>ANC FAB</v>
      </c>
      <c r="AJ225" s="1">
        <f t="shared" si="70"/>
        <v>19</v>
      </c>
      <c r="AK225" s="1">
        <f t="shared" si="55"/>
        <v>7</v>
      </c>
      <c r="AL225" s="1">
        <f t="shared" si="71"/>
        <v>16</v>
      </c>
      <c r="AM225" s="1">
        <f t="shared" si="61"/>
        <v>16</v>
      </c>
      <c r="AN225" s="1">
        <f t="shared" si="72"/>
        <v>5</v>
      </c>
    </row>
    <row r="226" spans="1:40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x14ac:dyDescent="0.3">
      <c r="A231" s="1">
        <v>26039</v>
      </c>
      <c r="B231" s="1" t="s">
        <v>413</v>
      </c>
      <c r="C231" s="3" t="s">
        <v>414</v>
      </c>
      <c r="D231" s="4">
        <v>10000</v>
      </c>
      <c r="E231" s="2" t="s">
        <v>398</v>
      </c>
      <c r="F231" s="2">
        <v>46073</v>
      </c>
      <c r="H231" s="2">
        <v>46099</v>
      </c>
      <c r="I231" s="2">
        <v>46077</v>
      </c>
      <c r="J231" s="2" t="s">
        <v>315</v>
      </c>
      <c r="K231" s="2">
        <v>46094</v>
      </c>
      <c r="L231" s="2">
        <v>46136</v>
      </c>
      <c r="N231" s="2">
        <v>46106</v>
      </c>
      <c r="P231" s="2">
        <v>46164</v>
      </c>
      <c r="Q231" s="2">
        <v>46164</v>
      </c>
      <c r="R231" s="2">
        <v>46192</v>
      </c>
      <c r="S231" s="1">
        <v>5</v>
      </c>
      <c r="W231" s="1">
        <f t="shared" si="56"/>
        <v>85</v>
      </c>
      <c r="X231" s="1">
        <f t="shared" si="57"/>
        <v>65</v>
      </c>
      <c r="Y231" s="1">
        <f t="shared" si="58"/>
        <v>0</v>
      </c>
      <c r="Z231" s="1">
        <f t="shared" si="62"/>
        <v>23</v>
      </c>
      <c r="AA231" s="1" t="str">
        <f t="shared" si="59"/>
        <v>PAS DE COMMANDE MATIERE</v>
      </c>
      <c r="AB231" s="1">
        <f t="shared" si="63"/>
        <v>32927</v>
      </c>
      <c r="AC231" s="1">
        <f t="shared" si="64"/>
        <v>5</v>
      </c>
      <c r="AD231" s="1" t="str">
        <f t="shared" si="60"/>
        <v>PAS DE DEPART TIRAGES OU ACHATS</v>
      </c>
      <c r="AE231" s="1">
        <f t="shared" si="65"/>
        <v>45</v>
      </c>
      <c r="AF231" s="1">
        <f t="shared" si="66"/>
        <v>15</v>
      </c>
      <c r="AG231" s="1" t="str">
        <f t="shared" si="67"/>
        <v>PAS DE DATE CARTON</v>
      </c>
      <c r="AH231" s="1">
        <f t="shared" si="68"/>
        <v>2</v>
      </c>
      <c r="AI231" s="1" t="str">
        <f t="shared" si="69"/>
        <v>ANC FAB</v>
      </c>
      <c r="AJ231" s="1">
        <f t="shared" si="70"/>
        <v>43</v>
      </c>
      <c r="AK231" s="1" t="str">
        <f t="shared" ref="AK231:AK258" si="73">IFERROR(IF($R231="","NON LIVRE",IF($L231="","PAS D'IMPRESSION",IF($O231="","PAS DE DATE DEPART EN PROD TIRAGES ET ACHATS",NETWORKDAYS($L231,$O231)-1))),$O231)</f>
        <v>PAS DE DATE DEPART EN PROD TIRAGES ET ACHATS</v>
      </c>
      <c r="AL231" s="1">
        <f t="shared" si="71"/>
        <v>0</v>
      </c>
      <c r="AM231" s="1">
        <f t="shared" si="61"/>
        <v>42</v>
      </c>
      <c r="AN231" s="1" t="str">
        <f t="shared" si="72"/>
        <v>PAS DE DATE VALIDATION MODELE CLIENT</v>
      </c>
    </row>
    <row r="232" spans="1:40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x14ac:dyDescent="0.3">
      <c r="A239" s="1">
        <v>26047</v>
      </c>
      <c r="B239" s="1" t="s">
        <v>354</v>
      </c>
      <c r="C239" s="3" t="s">
        <v>355</v>
      </c>
      <c r="D239" s="4">
        <v>1700</v>
      </c>
      <c r="E239" s="2" t="s">
        <v>128</v>
      </c>
      <c r="F239" s="2">
        <v>46076</v>
      </c>
      <c r="G239" s="2">
        <v>46087</v>
      </c>
      <c r="H239" s="2">
        <v>46142</v>
      </c>
      <c r="I239" s="2">
        <v>46140</v>
      </c>
      <c r="J239" s="2">
        <v>46141</v>
      </c>
      <c r="L239" s="2">
        <v>46099</v>
      </c>
      <c r="N239" s="2">
        <v>46169</v>
      </c>
      <c r="O239" s="2">
        <v>46163</v>
      </c>
      <c r="P239" s="2">
        <v>46129</v>
      </c>
      <c r="Q239" s="2">
        <v>46192</v>
      </c>
      <c r="R239" s="2">
        <v>46192</v>
      </c>
      <c r="S239" s="1">
        <v>1</v>
      </c>
      <c r="W239" s="1">
        <f t="shared" si="56"/>
        <v>84</v>
      </c>
      <c r="X239" s="1">
        <f t="shared" si="57"/>
        <v>84</v>
      </c>
      <c r="Y239" s="1">
        <f t="shared" si="58"/>
        <v>45</v>
      </c>
      <c r="Z239" s="1">
        <f t="shared" si="62"/>
        <v>67</v>
      </c>
      <c r="AA239" s="1">
        <f t="shared" si="59"/>
        <v>9</v>
      </c>
      <c r="AB239" s="1">
        <f t="shared" si="63"/>
        <v>39</v>
      </c>
      <c r="AC239" s="1">
        <f t="shared" si="64"/>
        <v>19</v>
      </c>
      <c r="AD239" s="1">
        <f t="shared" si="60"/>
        <v>63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46</v>
      </c>
      <c r="AI239" s="1">
        <f t="shared" si="69"/>
        <v>47</v>
      </c>
      <c r="AJ239" s="1">
        <f t="shared" si="70"/>
        <v>-32</v>
      </c>
      <c r="AK239" s="1">
        <f t="shared" si="73"/>
        <v>46</v>
      </c>
      <c r="AL239" s="1">
        <f t="shared" si="71"/>
        <v>4</v>
      </c>
      <c r="AM239" s="1">
        <f t="shared" si="61"/>
        <v>17</v>
      </c>
      <c r="AN239" s="1">
        <f t="shared" si="72"/>
        <v>0</v>
      </c>
    </row>
    <row r="240" spans="1:40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x14ac:dyDescent="0.3">
      <c r="A241" s="1">
        <v>26049</v>
      </c>
      <c r="B241" s="1" t="s">
        <v>17</v>
      </c>
      <c r="C241" s="3" t="s">
        <v>402</v>
      </c>
      <c r="D241" s="4">
        <v>2000</v>
      </c>
      <c r="E241" s="2" t="s">
        <v>398</v>
      </c>
      <c r="F241" s="2">
        <v>46077</v>
      </c>
      <c r="G241" s="2">
        <v>46079</v>
      </c>
      <c r="H241" s="2">
        <v>46128</v>
      </c>
      <c r="I241" s="2">
        <v>46112</v>
      </c>
      <c r="J241" s="2" t="s">
        <v>315</v>
      </c>
      <c r="K241" s="2">
        <v>46132</v>
      </c>
      <c r="L241" s="2">
        <v>46140</v>
      </c>
      <c r="M241" s="2">
        <v>46094</v>
      </c>
      <c r="N241" s="2">
        <v>46136</v>
      </c>
      <c r="O241" s="2">
        <v>46149</v>
      </c>
      <c r="P241" s="2">
        <v>46185</v>
      </c>
      <c r="Q241" s="2">
        <v>46185</v>
      </c>
      <c r="R241" s="2">
        <v>46185</v>
      </c>
      <c r="S241" s="1">
        <v>1</v>
      </c>
      <c r="W241" s="1">
        <f t="shared" si="56"/>
        <v>78</v>
      </c>
      <c r="X241" s="1">
        <f t="shared" si="57"/>
        <v>78</v>
      </c>
      <c r="Y241" s="1">
        <f t="shared" si="58"/>
        <v>0</v>
      </c>
      <c r="Z241" s="1">
        <f t="shared" si="62"/>
        <v>43</v>
      </c>
      <c r="AA241" s="1">
        <f t="shared" si="59"/>
        <v>2</v>
      </c>
      <c r="AB241" s="1">
        <f t="shared" si="63"/>
        <v>35</v>
      </c>
      <c r="AC241" s="1">
        <f t="shared" si="64"/>
        <v>6</v>
      </c>
      <c r="AD241" s="1">
        <f t="shared" si="60"/>
        <v>52</v>
      </c>
      <c r="AE241" s="1">
        <f t="shared" si="65"/>
        <v>45</v>
      </c>
      <c r="AF241" s="1">
        <f t="shared" si="66"/>
        <v>39</v>
      </c>
      <c r="AG241" s="1">
        <f t="shared" si="67"/>
        <v>13</v>
      </c>
      <c r="AH241" s="1">
        <f t="shared" si="68"/>
        <v>25</v>
      </c>
      <c r="AI241" s="1" t="str">
        <f t="shared" si="69"/>
        <v>ANC FAB</v>
      </c>
      <c r="AJ241" s="1">
        <f t="shared" si="70"/>
        <v>20</v>
      </c>
      <c r="AK241" s="1">
        <f t="shared" si="73"/>
        <v>7</v>
      </c>
      <c r="AL241" s="1">
        <f t="shared" si="71"/>
        <v>9</v>
      </c>
      <c r="AM241" s="1">
        <f t="shared" si="61"/>
        <v>26</v>
      </c>
      <c r="AN241" s="1">
        <f t="shared" si="72"/>
        <v>0</v>
      </c>
    </row>
    <row r="242" spans="1:40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s="23" customFormat="1" x14ac:dyDescent="0.3">
      <c r="A244" s="23">
        <v>26052</v>
      </c>
      <c r="B244" s="23" t="s">
        <v>9</v>
      </c>
      <c r="C244" s="24" t="s">
        <v>403</v>
      </c>
      <c r="D244" s="25">
        <v>1500</v>
      </c>
      <c r="E244" s="26" t="s">
        <v>398</v>
      </c>
      <c r="F244" s="26">
        <v>46079</v>
      </c>
      <c r="G244" s="26"/>
      <c r="H244" s="26">
        <v>46121</v>
      </c>
      <c r="I244" s="26">
        <v>46111</v>
      </c>
      <c r="J244" s="26" t="s">
        <v>315</v>
      </c>
      <c r="K244" s="26">
        <v>46105</v>
      </c>
      <c r="L244" s="26">
        <v>46126</v>
      </c>
      <c r="M244" s="26">
        <v>46119</v>
      </c>
      <c r="N244" s="26">
        <v>46164</v>
      </c>
      <c r="O244" s="26">
        <v>46163</v>
      </c>
      <c r="P244" s="26">
        <v>46157</v>
      </c>
      <c r="Q244" s="26">
        <v>46147</v>
      </c>
      <c r="R244" s="26">
        <v>46178</v>
      </c>
      <c r="S244" s="23">
        <v>2</v>
      </c>
      <c r="T244" s="24"/>
      <c r="W244" s="23">
        <f t="shared" si="56"/>
        <v>71</v>
      </c>
      <c r="X244" s="23">
        <f t="shared" si="57"/>
        <v>48</v>
      </c>
      <c r="Y244" s="23">
        <f t="shared" si="58"/>
        <v>-10</v>
      </c>
      <c r="Z244" s="23">
        <f t="shared" si="62"/>
        <v>61</v>
      </c>
      <c r="AA244" s="23" t="str">
        <f t="shared" si="59"/>
        <v>PAS DE COMMANDE MATIERE</v>
      </c>
      <c r="AB244" s="23">
        <f t="shared" si="63"/>
        <v>32943</v>
      </c>
      <c r="AC244" s="23">
        <f t="shared" si="64"/>
        <v>31</v>
      </c>
      <c r="AD244" s="23">
        <f t="shared" si="60"/>
        <v>60</v>
      </c>
      <c r="AE244" s="23">
        <f t="shared" si="65"/>
        <v>33</v>
      </c>
      <c r="AF244" s="23">
        <f t="shared" si="66"/>
        <v>18</v>
      </c>
      <c r="AG244" s="23">
        <f t="shared" si="67"/>
        <v>28</v>
      </c>
      <c r="AH244" s="23">
        <f t="shared" si="68"/>
        <v>22</v>
      </c>
      <c r="AI244" s="23" t="str">
        <f t="shared" si="69"/>
        <v>ANC FAB</v>
      </c>
      <c r="AJ244" s="23">
        <f t="shared" si="70"/>
        <v>11</v>
      </c>
      <c r="AK244" s="23">
        <f t="shared" si="73"/>
        <v>27</v>
      </c>
      <c r="AL244" s="23">
        <f t="shared" si="71"/>
        <v>1</v>
      </c>
      <c r="AM244" s="23">
        <f t="shared" si="61"/>
        <v>-15</v>
      </c>
      <c r="AN244" s="23">
        <f t="shared" si="72"/>
        <v>23</v>
      </c>
    </row>
    <row r="245" spans="1:40" x14ac:dyDescent="0.3">
      <c r="A245" s="1">
        <v>26053</v>
      </c>
      <c r="B245" s="1" t="s">
        <v>60</v>
      </c>
      <c r="C245" s="3" t="s">
        <v>439</v>
      </c>
      <c r="D245" s="4">
        <v>800</v>
      </c>
      <c r="E245" s="2" t="s">
        <v>398</v>
      </c>
      <c r="F245" s="2">
        <v>46079</v>
      </c>
      <c r="G245" s="2">
        <v>46133</v>
      </c>
      <c r="H245" s="2">
        <v>46139</v>
      </c>
      <c r="I245" s="2">
        <v>46146</v>
      </c>
      <c r="J245" s="2">
        <v>46162</v>
      </c>
      <c r="K245" s="2">
        <v>46153</v>
      </c>
      <c r="L245" s="2">
        <v>46170</v>
      </c>
      <c r="M245" s="2">
        <v>46155</v>
      </c>
      <c r="N245" s="2">
        <v>46199</v>
      </c>
      <c r="O245" s="2">
        <v>46178</v>
      </c>
      <c r="P245" s="2">
        <v>46202</v>
      </c>
      <c r="Q245" s="2">
        <v>46192</v>
      </c>
      <c r="R245" s="2">
        <v>46206</v>
      </c>
      <c r="S245" s="1">
        <v>2</v>
      </c>
      <c r="W245" s="1">
        <f t="shared" si="56"/>
        <v>91</v>
      </c>
      <c r="X245" s="1">
        <f t="shared" si="57"/>
        <v>81</v>
      </c>
      <c r="Y245" s="1">
        <f t="shared" si="58"/>
        <v>-8</v>
      </c>
      <c r="Z245" s="1">
        <f t="shared" si="62"/>
        <v>86</v>
      </c>
      <c r="AA245" s="1">
        <f t="shared" si="59"/>
        <v>38</v>
      </c>
      <c r="AB245" s="1">
        <f t="shared" si="63"/>
        <v>4</v>
      </c>
      <c r="AC245" s="1">
        <f t="shared" si="64"/>
        <v>44</v>
      </c>
      <c r="AD245" s="1">
        <f t="shared" si="60"/>
        <v>71</v>
      </c>
      <c r="AE245" s="1">
        <f t="shared" si="65"/>
        <v>65</v>
      </c>
      <c r="AF245" s="1">
        <f t="shared" si="66"/>
        <v>52</v>
      </c>
      <c r="AG245" s="1">
        <f t="shared" si="67"/>
        <v>54</v>
      </c>
      <c r="AH245" s="1">
        <f t="shared" si="68"/>
        <v>47</v>
      </c>
      <c r="AI245" s="1">
        <f t="shared" si="69"/>
        <v>59</v>
      </c>
      <c r="AJ245" s="1">
        <f t="shared" si="70"/>
        <v>6</v>
      </c>
      <c r="AK245" s="1">
        <f t="shared" si="73"/>
        <v>6</v>
      </c>
      <c r="AL245" s="1">
        <f t="shared" si="71"/>
        <v>15</v>
      </c>
      <c r="AM245" s="1">
        <f t="shared" si="61"/>
        <v>-7</v>
      </c>
      <c r="AN245" s="1">
        <f t="shared" si="72"/>
        <v>10</v>
      </c>
    </row>
    <row r="246" spans="1:40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x14ac:dyDescent="0.3">
      <c r="A254" s="1">
        <v>26062</v>
      </c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  <row r="255" spans="1:40" x14ac:dyDescent="0.3">
      <c r="A255" s="1">
        <v>26063</v>
      </c>
      <c r="B255" s="1" t="s">
        <v>415</v>
      </c>
      <c r="C255" s="3" t="s">
        <v>416</v>
      </c>
      <c r="D255" s="4">
        <v>500</v>
      </c>
      <c r="E255" s="2" t="s">
        <v>179</v>
      </c>
      <c r="F255" s="2">
        <v>46104</v>
      </c>
      <c r="I255" s="2">
        <v>46147</v>
      </c>
      <c r="J255" s="2">
        <v>46155</v>
      </c>
      <c r="L255" s="2">
        <v>46169</v>
      </c>
      <c r="O255" s="2">
        <v>46170</v>
      </c>
      <c r="P255" s="2">
        <v>46192</v>
      </c>
      <c r="Q255" s="2">
        <v>46192</v>
      </c>
      <c r="R255" s="2">
        <v>46192</v>
      </c>
      <c r="S255" s="1">
        <v>1</v>
      </c>
      <c r="W255" s="1">
        <f t="shared" si="56"/>
        <v>64</v>
      </c>
      <c r="X255" s="1">
        <f t="shared" si="57"/>
        <v>64</v>
      </c>
      <c r="Y255" s="1">
        <f t="shared" si="58"/>
        <v>0</v>
      </c>
      <c r="Z255" s="1" t="str">
        <f t="shared" si="62"/>
        <v>PAS DE DEPART MATIERE</v>
      </c>
      <c r="AA255" s="1" t="str">
        <f t="shared" si="59"/>
        <v>PAS DE COMMANDE MATIERE</v>
      </c>
      <c r="AB255" s="1" t="str">
        <f t="shared" si="63"/>
        <v>PAS DE COMMANDE MATIERE</v>
      </c>
      <c r="AC255" s="1" t="str">
        <f t="shared" si="64"/>
        <v>PAS DE COMMANDE MATIERE</v>
      </c>
      <c r="AD255" s="1">
        <f t="shared" si="60"/>
        <v>48</v>
      </c>
      <c r="AE255" s="1">
        <f t="shared" si="65"/>
        <v>47</v>
      </c>
      <c r="AF255" s="1" t="str">
        <f t="shared" si="66"/>
        <v>PAS DE DATE PAPIER</v>
      </c>
      <c r="AG255" s="1" t="str">
        <f t="shared" si="67"/>
        <v>PAS DE DATE CARTON</v>
      </c>
      <c r="AH255" s="1">
        <f t="shared" si="68"/>
        <v>31</v>
      </c>
      <c r="AI255" s="1">
        <f t="shared" si="69"/>
        <v>37</v>
      </c>
      <c r="AJ255" s="1">
        <f t="shared" si="70"/>
        <v>10</v>
      </c>
      <c r="AK255" s="1">
        <f t="shared" si="73"/>
        <v>1</v>
      </c>
      <c r="AL255" s="1">
        <f t="shared" si="71"/>
        <v>0</v>
      </c>
      <c r="AM255" s="1">
        <f t="shared" si="61"/>
        <v>16</v>
      </c>
      <c r="AN255" s="1" t="str">
        <f t="shared" ref="AN255:AN258" si="74">IFERROR(IF($R255="","NON LIVRE",IF($N255="","PAS D'IMPRESSION",IF($O255="","PAS DE DATE VALIDATION MODELE CLIENT",NETWORKDAYS($Q255,R255)-1))),$O255)</f>
        <v>PAS D'IMPRESSION</v>
      </c>
    </row>
    <row r="256" spans="1:40" x14ac:dyDescent="0.3">
      <c r="A256" s="1">
        <v>26064</v>
      </c>
      <c r="B256" s="1" t="s">
        <v>105</v>
      </c>
      <c r="C256" s="3" t="s">
        <v>106</v>
      </c>
      <c r="D256" s="4">
        <v>500</v>
      </c>
      <c r="E256" s="2" t="s">
        <v>398</v>
      </c>
      <c r="F256" s="2">
        <v>46104</v>
      </c>
      <c r="H256" s="2">
        <v>46155</v>
      </c>
      <c r="I256" s="2">
        <v>46105</v>
      </c>
      <c r="J256" s="2">
        <v>46126</v>
      </c>
      <c r="L256" s="2">
        <v>46146</v>
      </c>
      <c r="M256" s="2">
        <v>46125</v>
      </c>
      <c r="N256" s="2">
        <v>46178</v>
      </c>
      <c r="O256" s="2">
        <v>46148</v>
      </c>
      <c r="P256" s="2">
        <v>46185</v>
      </c>
      <c r="Q256" s="2">
        <v>46185</v>
      </c>
      <c r="R256" s="2">
        <v>46185</v>
      </c>
      <c r="S256" s="1">
        <v>1</v>
      </c>
      <c r="W256" s="1" t="e">
        <f>IF($R256="","NON LIVRE",NETWORKDAYS(#REF!,$R256)-1)</f>
        <v>#REF!</v>
      </c>
      <c r="X256" s="1" t="e">
        <f>IF($Q256="","NON LIVRE",NETWORKDAYS(#REF!,$Q256)-1)</f>
        <v>#REF!</v>
      </c>
      <c r="Y256" s="1">
        <f t="shared" ref="Y256:Y258" si="75">IF($Q256="","NON LIVRE",NETWORKDAYS($P256,$Q256)-1)</f>
        <v>0</v>
      </c>
      <c r="Z256" s="1">
        <f>IFERROR(IF($R256="","NON LIVRE",IF($N256="","PAS DE DEPART MATIERE",NETWORKDAYS(#REF!,$N256)-1)),$N256)</f>
        <v>46178</v>
      </c>
      <c r="AA256" s="1" t="str">
        <f>IFERROR(IF($R256="","NON LIVRE",IF($G256="","PAS DE COMMANDE MATIERE",NETWORKDAYS(#REF!,$G256)-1)),$G256)</f>
        <v>PAS DE COMMANDE MATIERE</v>
      </c>
      <c r="AB256" s="1">
        <f t="shared" si="63"/>
        <v>32967</v>
      </c>
      <c r="AC256" s="1">
        <f t="shared" si="64"/>
        <v>17</v>
      </c>
      <c r="AD256" s="1">
        <f>IFERROR(IF($R256="","NON LIVRE",IF($O256="","PAS DE DEPART TIRAGES OU ACHATS",NETWORKDAYS(#REF!,$O256)-1)),$O256)</f>
        <v>46148</v>
      </c>
      <c r="AE256" s="1">
        <f>IFERROR(IF($R256="","NON LIVRE",IF($L256="","PAS DE DATE IMPRESSION",NETWORKDAYS(#REF!,$L256)-1)),$L256)</f>
        <v>46146</v>
      </c>
      <c r="AF256" s="1" t="str">
        <f>IFERROR(IF($R256="","NON LIVRE",IF($K256="","PAS DE DATE PAPIER",NETWORKDAYS(#REF!,$K256)-1)),$K256)</f>
        <v>PAS DE DATE PAPIER</v>
      </c>
      <c r="AG256" s="1">
        <f>IFERROR(IF($R256="","NON LIVRE",IF($M256="","PAS DE DATE CARTON",NETWORKDAYS(#REF!,$M256)-1)),$M256)</f>
        <v>46125</v>
      </c>
      <c r="AH256" s="1">
        <f>IFERROR(IF($R256="","NON LIVRE",IF($I256="","PAS DE DATE FICHIER",NETWORKDAYS(#REF!,$I256)-1)),$I256)</f>
        <v>46105</v>
      </c>
      <c r="AI256" s="1">
        <f>IFERROR(IF($R256="","NON LIVRE",IF($J256="","PAS DE DATE VALIDATION MODELE CLIENT",NETWORKDAYS(#REF!,$J256)-1)),$J256)</f>
        <v>46126</v>
      </c>
      <c r="AJ256" s="1">
        <f t="shared" si="70"/>
        <v>14</v>
      </c>
      <c r="AK256" s="1">
        <f t="shared" si="73"/>
        <v>2</v>
      </c>
      <c r="AL256" s="1">
        <f t="shared" si="71"/>
        <v>22</v>
      </c>
      <c r="AM256" s="1">
        <f t="shared" si="61"/>
        <v>5</v>
      </c>
      <c r="AN256" s="1">
        <f t="shared" si="74"/>
        <v>0</v>
      </c>
    </row>
    <row r="257" spans="1:40" x14ac:dyDescent="0.3">
      <c r="A257" s="1">
        <v>26065</v>
      </c>
      <c r="B257" s="1" t="s">
        <v>105</v>
      </c>
      <c r="C257" s="3" t="s">
        <v>404</v>
      </c>
      <c r="D257" s="4">
        <v>600</v>
      </c>
      <c r="E257" s="2" t="s">
        <v>398</v>
      </c>
      <c r="F257" s="2">
        <v>46104</v>
      </c>
      <c r="G257" s="2">
        <v>46104</v>
      </c>
      <c r="H257" s="2">
        <v>46135</v>
      </c>
      <c r="I257" s="2">
        <v>46105</v>
      </c>
      <c r="J257" s="2">
        <v>46126</v>
      </c>
      <c r="L257" s="2">
        <v>46139</v>
      </c>
      <c r="M257" s="2">
        <v>46121</v>
      </c>
      <c r="N257" s="2">
        <v>46155</v>
      </c>
      <c r="O257" s="2">
        <v>46148</v>
      </c>
      <c r="P257" s="2">
        <v>46185</v>
      </c>
      <c r="Q257" s="2">
        <v>46185</v>
      </c>
      <c r="R257" s="2">
        <v>46185</v>
      </c>
      <c r="S257" s="1">
        <v>1</v>
      </c>
      <c r="W257" s="1">
        <f t="shared" ref="W256:W258" si="76">IF($R257="","NON LIVRE",NETWORKDAYS($F257,$R257)-1)</f>
        <v>59</v>
      </c>
      <c r="X257" s="1">
        <f t="shared" ref="X256:X258" si="77">IF($Q257="","NON LIVRE",NETWORKDAYS($F257,$Q257)-1)</f>
        <v>59</v>
      </c>
      <c r="Y257" s="1">
        <f t="shared" si="75"/>
        <v>0</v>
      </c>
      <c r="Z257" s="1">
        <f t="shared" si="62"/>
        <v>37</v>
      </c>
      <c r="AA257" s="1">
        <f t="shared" ref="AA256:AA258" si="78">IFERROR(IF($R257="","NON LIVRE",IF($G257="","PAS DE COMMANDE MATIERE",NETWORKDAYS($F257,$G257)-1)),$G257)</f>
        <v>0</v>
      </c>
      <c r="AB257" s="1">
        <f t="shared" si="63"/>
        <v>23</v>
      </c>
      <c r="AC257" s="1">
        <f t="shared" si="64"/>
        <v>14</v>
      </c>
      <c r="AD257" s="1">
        <f t="shared" ref="AD256:AD258" si="79">IFERROR(IF($R257="","NON LIVRE",IF($O257="","PAS DE DEPART TIRAGES OU ACHATS",NETWORKDAYS($F257,$O257)-1)),$O257)</f>
        <v>32</v>
      </c>
      <c r="AE257" s="1">
        <f t="shared" si="65"/>
        <v>25</v>
      </c>
      <c r="AF257" s="1" t="str">
        <f t="shared" si="66"/>
        <v>PAS DE DATE PAPIER</v>
      </c>
      <c r="AG257" s="1">
        <f t="shared" si="67"/>
        <v>13</v>
      </c>
      <c r="AH257" s="1">
        <f t="shared" si="68"/>
        <v>1</v>
      </c>
      <c r="AI257" s="1">
        <f t="shared" si="69"/>
        <v>16</v>
      </c>
      <c r="AJ257" s="1">
        <f t="shared" si="70"/>
        <v>9</v>
      </c>
      <c r="AK257" s="1">
        <f t="shared" si="73"/>
        <v>7</v>
      </c>
      <c r="AL257" s="1">
        <f t="shared" si="71"/>
        <v>5</v>
      </c>
      <c r="AM257" s="1">
        <f t="shared" si="61"/>
        <v>22</v>
      </c>
      <c r="AN257" s="1">
        <f t="shared" si="74"/>
        <v>0</v>
      </c>
    </row>
    <row r="258" spans="1:40" x14ac:dyDescent="0.3">
      <c r="A258" s="1">
        <v>26066</v>
      </c>
      <c r="B258" s="1" t="s">
        <v>60</v>
      </c>
      <c r="C258" s="3" t="s">
        <v>397</v>
      </c>
      <c r="D258" s="4">
        <v>6000</v>
      </c>
      <c r="E258" s="2" t="s">
        <v>398</v>
      </c>
      <c r="F258" s="2">
        <v>46104</v>
      </c>
      <c r="G258" s="2">
        <v>46107</v>
      </c>
      <c r="H258" s="2">
        <v>46141</v>
      </c>
      <c r="I258" s="2">
        <v>46132</v>
      </c>
      <c r="J258" s="2" t="s">
        <v>315</v>
      </c>
      <c r="L258" s="2">
        <v>46139</v>
      </c>
      <c r="M258" s="2">
        <v>46119</v>
      </c>
      <c r="N258" s="2">
        <v>46142</v>
      </c>
      <c r="O258" s="2">
        <v>46148</v>
      </c>
      <c r="P258" s="2">
        <v>46178</v>
      </c>
      <c r="Q258" s="2">
        <v>46161</v>
      </c>
      <c r="R258" s="2">
        <v>46178</v>
      </c>
      <c r="S258" s="1">
        <v>2</v>
      </c>
      <c r="W258" s="1">
        <f t="shared" si="76"/>
        <v>54</v>
      </c>
      <c r="X258" s="1">
        <f t="shared" si="77"/>
        <v>41</v>
      </c>
      <c r="Y258" s="1">
        <f t="shared" si="75"/>
        <v>-15</v>
      </c>
      <c r="Z258" s="1">
        <f t="shared" si="62"/>
        <v>28</v>
      </c>
      <c r="AA258" s="1">
        <f t="shared" si="78"/>
        <v>3</v>
      </c>
      <c r="AB258" s="1">
        <f t="shared" si="63"/>
        <v>24</v>
      </c>
      <c r="AC258" s="1">
        <f t="shared" si="64"/>
        <v>1</v>
      </c>
      <c r="AD258" s="1">
        <f t="shared" si="79"/>
        <v>32</v>
      </c>
      <c r="AE258" s="1">
        <f t="shared" si="65"/>
        <v>25</v>
      </c>
      <c r="AF258" s="1" t="str">
        <f t="shared" si="66"/>
        <v>PAS DE DATE PAPIER</v>
      </c>
      <c r="AG258" s="1">
        <f t="shared" si="67"/>
        <v>11</v>
      </c>
      <c r="AH258" s="1">
        <f t="shared" si="68"/>
        <v>20</v>
      </c>
      <c r="AI258" s="1" t="str">
        <f t="shared" si="69"/>
        <v>ANC FAB</v>
      </c>
      <c r="AJ258" s="1">
        <f t="shared" si="70"/>
        <v>5</v>
      </c>
      <c r="AK258" s="1">
        <f t="shared" si="73"/>
        <v>7</v>
      </c>
      <c r="AL258" s="1">
        <f t="shared" si="71"/>
        <v>4</v>
      </c>
      <c r="AM258" s="1">
        <f t="shared" ref="AM258" si="80">IFERROR(IF($R258="","NON LIVRE",IF(MAX($N258,$O258)=0,"PAS D'EXPEDITION DE MATIERE, D'IMPRESSION, OU D'ACHAT",NETWORKDAYS(MAX($N258,$O258),$Q258)-1)),"PAS D'EXPEDITION DE MATIERE, D'IMPRESSION, OU D'ACHAT")</f>
        <v>9</v>
      </c>
      <c r="AN258" s="1">
        <f t="shared" si="74"/>
        <v>13</v>
      </c>
    </row>
    <row r="259" spans="1:40" x14ac:dyDescent="0.3">
      <c r="A259" s="1">
        <v>26067</v>
      </c>
    </row>
    <row r="260" spans="1:40" x14ac:dyDescent="0.3">
      <c r="A260" s="1">
        <v>26068</v>
      </c>
      <c r="B260" s="1" t="s">
        <v>441</v>
      </c>
      <c r="C260" s="3" t="s">
        <v>110</v>
      </c>
      <c r="D260" s="4">
        <v>1000</v>
      </c>
      <c r="E260" s="2" t="s">
        <v>398</v>
      </c>
      <c r="F260" s="2">
        <v>46104</v>
      </c>
      <c r="G260" s="2">
        <v>46106</v>
      </c>
      <c r="H260" s="2">
        <v>46205</v>
      </c>
      <c r="I260" s="2">
        <v>46196</v>
      </c>
      <c r="J260" s="2">
        <v>46188</v>
      </c>
      <c r="L260" s="2">
        <v>46203</v>
      </c>
      <c r="M260" s="2">
        <v>46119</v>
      </c>
      <c r="N260" s="2">
        <v>46213</v>
      </c>
      <c r="O260" s="2">
        <v>46205</v>
      </c>
      <c r="P260" s="2">
        <v>46255</v>
      </c>
      <c r="Q260" s="2">
        <v>46241</v>
      </c>
      <c r="R260" s="2">
        <v>46241</v>
      </c>
      <c r="S260" s="1">
        <v>1</v>
      </c>
    </row>
    <row r="261" spans="1:40" x14ac:dyDescent="0.3">
      <c r="A261" s="1">
        <v>26069</v>
      </c>
    </row>
    <row r="262" spans="1:40" x14ac:dyDescent="0.3">
      <c r="A262" s="1">
        <v>26070</v>
      </c>
      <c r="B262" s="1" t="s">
        <v>417</v>
      </c>
      <c r="C262" s="3" t="s">
        <v>418</v>
      </c>
      <c r="D262" s="4">
        <v>1500</v>
      </c>
      <c r="F262" s="2">
        <v>46104</v>
      </c>
      <c r="H262" s="2">
        <v>46122</v>
      </c>
      <c r="I262" s="2">
        <v>46153</v>
      </c>
      <c r="K262" s="2">
        <v>46170</v>
      </c>
      <c r="N262" s="2">
        <v>46136</v>
      </c>
      <c r="O262" s="2">
        <v>46177</v>
      </c>
      <c r="P262" s="2">
        <v>46199</v>
      </c>
      <c r="Q262" s="2">
        <v>46192</v>
      </c>
      <c r="R262" s="2">
        <v>46192</v>
      </c>
      <c r="S262" s="1">
        <v>1</v>
      </c>
    </row>
    <row r="263" spans="1:40" x14ac:dyDescent="0.3">
      <c r="A263" s="1">
        <v>26071</v>
      </c>
      <c r="B263" s="1" t="s">
        <v>27</v>
      </c>
      <c r="C263" s="3" t="s">
        <v>426</v>
      </c>
      <c r="D263" s="4">
        <v>1800</v>
      </c>
      <c r="E263" s="2" t="s">
        <v>128</v>
      </c>
      <c r="F263" s="2">
        <v>46104</v>
      </c>
      <c r="H263" s="2">
        <v>46154</v>
      </c>
      <c r="I263" s="2">
        <v>46155</v>
      </c>
      <c r="J263" s="2">
        <v>46185</v>
      </c>
      <c r="K263" s="2">
        <v>46168</v>
      </c>
      <c r="L263" s="2">
        <v>46168</v>
      </c>
      <c r="N263" s="2">
        <v>46164</v>
      </c>
      <c r="O263" s="2">
        <v>46184</v>
      </c>
      <c r="P263" s="2">
        <v>46206</v>
      </c>
      <c r="Q263" s="2">
        <v>46206</v>
      </c>
      <c r="R263" s="2">
        <v>46206</v>
      </c>
      <c r="S263" s="1">
        <v>1</v>
      </c>
    </row>
    <row r="264" spans="1:40" x14ac:dyDescent="0.3">
      <c r="A264" s="1">
        <v>26072</v>
      </c>
      <c r="B264" s="1" t="s">
        <v>73</v>
      </c>
      <c r="C264" s="3" t="s">
        <v>405</v>
      </c>
      <c r="D264" s="4">
        <v>500</v>
      </c>
      <c r="F264" s="2">
        <v>46107</v>
      </c>
      <c r="H264" s="2">
        <v>46149</v>
      </c>
      <c r="N264" s="2">
        <v>46164</v>
      </c>
      <c r="O264" s="2">
        <v>46136</v>
      </c>
      <c r="P264" s="2">
        <v>46178</v>
      </c>
      <c r="Q264" s="2">
        <v>46178</v>
      </c>
      <c r="R264" s="2">
        <v>46178</v>
      </c>
      <c r="S264" s="1">
        <v>1</v>
      </c>
    </row>
    <row r="265" spans="1:40" x14ac:dyDescent="0.3">
      <c r="A265" s="1">
        <v>26073</v>
      </c>
    </row>
    <row r="266" spans="1:40" x14ac:dyDescent="0.3">
      <c r="A266" s="1">
        <v>26074</v>
      </c>
    </row>
    <row r="267" spans="1:40" x14ac:dyDescent="0.3">
      <c r="A267" s="1">
        <v>26075</v>
      </c>
    </row>
    <row r="268" spans="1:40" x14ac:dyDescent="0.3">
      <c r="A268" s="1">
        <v>26076</v>
      </c>
    </row>
    <row r="269" spans="1:40" x14ac:dyDescent="0.3">
      <c r="A269" s="1">
        <v>26077</v>
      </c>
    </row>
    <row r="270" spans="1:40" x14ac:dyDescent="0.3">
      <c r="A270" s="1">
        <v>26078</v>
      </c>
      <c r="B270" s="1" t="s">
        <v>419</v>
      </c>
      <c r="C270" s="3" t="s">
        <v>356</v>
      </c>
      <c r="D270" s="4">
        <v>12000</v>
      </c>
      <c r="E270" s="2" t="s">
        <v>420</v>
      </c>
      <c r="F270" s="2">
        <v>46115</v>
      </c>
      <c r="G270" s="2">
        <v>46135</v>
      </c>
      <c r="H270" s="2">
        <v>46169</v>
      </c>
      <c r="I270" s="2">
        <v>46149</v>
      </c>
      <c r="J270" s="2">
        <v>46154</v>
      </c>
      <c r="K270" s="2">
        <v>46141</v>
      </c>
      <c r="L270" s="2">
        <v>46170</v>
      </c>
      <c r="N270" s="2">
        <v>46171</v>
      </c>
      <c r="O270" s="2">
        <v>46177</v>
      </c>
      <c r="P270" s="2">
        <v>46199</v>
      </c>
      <c r="Q270" s="2">
        <v>46192</v>
      </c>
      <c r="R270" s="2">
        <v>46196</v>
      </c>
      <c r="S270" s="1">
        <v>2</v>
      </c>
    </row>
    <row r="271" spans="1:40" x14ac:dyDescent="0.3">
      <c r="A271" s="1">
        <v>26079</v>
      </c>
    </row>
    <row r="272" spans="1:40" x14ac:dyDescent="0.3">
      <c r="A272" s="1">
        <v>26080</v>
      </c>
      <c r="B272" s="1" t="s">
        <v>17</v>
      </c>
      <c r="C272" s="3" t="s">
        <v>429</v>
      </c>
      <c r="D272" s="4">
        <v>3000</v>
      </c>
      <c r="E272" s="2" t="s">
        <v>398</v>
      </c>
      <c r="F272" s="2">
        <v>46119</v>
      </c>
      <c r="G272" s="2">
        <v>46127</v>
      </c>
      <c r="H272" s="2">
        <v>46181</v>
      </c>
      <c r="I272" s="2">
        <v>46126</v>
      </c>
      <c r="J272" s="2">
        <v>46126</v>
      </c>
      <c r="K272" s="2">
        <v>46141</v>
      </c>
      <c r="L272" s="2">
        <v>46161</v>
      </c>
      <c r="M272" s="2">
        <v>46155</v>
      </c>
      <c r="N272" s="2">
        <v>46171</v>
      </c>
      <c r="O272" s="2">
        <v>46171</v>
      </c>
      <c r="P272" s="2">
        <v>46199</v>
      </c>
      <c r="Q272" s="2">
        <v>46199</v>
      </c>
      <c r="R272" s="2">
        <v>46199</v>
      </c>
      <c r="S272" s="1">
        <v>1</v>
      </c>
    </row>
    <row r="273" spans="1:19" x14ac:dyDescent="0.3">
      <c r="A273" s="1">
        <v>26081</v>
      </c>
    </row>
    <row r="274" spans="1:19" x14ac:dyDescent="0.3">
      <c r="A274" s="1">
        <v>26082</v>
      </c>
      <c r="B274" s="1" t="s">
        <v>73</v>
      </c>
      <c r="C274" s="3" t="s">
        <v>410</v>
      </c>
      <c r="D274" s="4">
        <v>300</v>
      </c>
      <c r="E274" s="2" t="s">
        <v>398</v>
      </c>
      <c r="F274" s="2">
        <v>46119</v>
      </c>
      <c r="G274" s="2">
        <v>46113</v>
      </c>
      <c r="H274" s="2">
        <v>46169</v>
      </c>
      <c r="J274" s="2">
        <v>46149</v>
      </c>
      <c r="L274" s="2">
        <v>46140</v>
      </c>
      <c r="N274" s="2">
        <v>46171</v>
      </c>
      <c r="O274" s="2">
        <v>46164</v>
      </c>
      <c r="P274" s="2">
        <v>46185</v>
      </c>
      <c r="Q274" s="2">
        <v>46185</v>
      </c>
      <c r="R274" s="2">
        <v>46185</v>
      </c>
      <c r="S274" s="1">
        <v>1</v>
      </c>
    </row>
    <row r="275" spans="1:19" x14ac:dyDescent="0.3">
      <c r="A275" s="1">
        <v>26083</v>
      </c>
      <c r="B275" s="1" t="s">
        <v>427</v>
      </c>
      <c r="C275" s="3" t="s">
        <v>428</v>
      </c>
      <c r="D275" s="4">
        <v>1500</v>
      </c>
      <c r="E275" s="2" t="s">
        <v>398</v>
      </c>
      <c r="F275" s="2">
        <v>46119</v>
      </c>
      <c r="H275" s="2">
        <v>46106</v>
      </c>
      <c r="I275" s="2">
        <v>46161</v>
      </c>
      <c r="J275" s="2">
        <v>46168</v>
      </c>
      <c r="L275" s="2">
        <v>46174</v>
      </c>
      <c r="N275" s="2">
        <v>46126</v>
      </c>
      <c r="O275" s="2">
        <v>46177</v>
      </c>
      <c r="P275" s="2">
        <v>46199</v>
      </c>
      <c r="Q275" s="2">
        <v>46199</v>
      </c>
      <c r="R275" s="2">
        <v>46199</v>
      </c>
      <c r="S275" s="1">
        <v>1</v>
      </c>
    </row>
    <row r="276" spans="1:19" x14ac:dyDescent="0.3">
      <c r="A276" s="1">
        <v>26084</v>
      </c>
    </row>
    <row r="277" spans="1:19" x14ac:dyDescent="0.3">
      <c r="A277" s="1">
        <v>26085</v>
      </c>
    </row>
    <row r="278" spans="1:19" x14ac:dyDescent="0.3">
      <c r="A278" s="1">
        <v>26086</v>
      </c>
      <c r="B278" s="1" t="s">
        <v>20</v>
      </c>
      <c r="C278" s="3" t="s">
        <v>421</v>
      </c>
      <c r="D278" s="4">
        <v>2000</v>
      </c>
      <c r="E278" s="2" t="s">
        <v>398</v>
      </c>
      <c r="F278" s="2">
        <v>46120</v>
      </c>
      <c r="G278" s="2">
        <v>46111</v>
      </c>
      <c r="H278" s="2">
        <v>46167</v>
      </c>
      <c r="I278" s="2">
        <v>46154</v>
      </c>
      <c r="J278" s="2">
        <v>46199</v>
      </c>
      <c r="L278" s="2">
        <v>46174</v>
      </c>
      <c r="M278" s="2">
        <v>46155</v>
      </c>
      <c r="N278" s="2">
        <v>46178</v>
      </c>
      <c r="O278" s="2">
        <v>46177</v>
      </c>
      <c r="P278" s="2">
        <v>46192</v>
      </c>
      <c r="Q278" s="2">
        <v>46192</v>
      </c>
      <c r="R278" s="2">
        <v>46192</v>
      </c>
      <c r="S278" s="1">
        <v>1</v>
      </c>
    </row>
    <row r="279" spans="1:19" x14ac:dyDescent="0.3">
      <c r="A279" s="1">
        <v>26087</v>
      </c>
    </row>
    <row r="280" spans="1:19" x14ac:dyDescent="0.3">
      <c r="A280" s="1">
        <v>26088</v>
      </c>
      <c r="B280" s="1" t="s">
        <v>35</v>
      </c>
      <c r="C280" s="3" t="s">
        <v>440</v>
      </c>
      <c r="D280" s="4">
        <v>3000</v>
      </c>
      <c r="E280" s="2" t="s">
        <v>128</v>
      </c>
      <c r="F280" s="2">
        <v>46125</v>
      </c>
      <c r="G280" s="2">
        <v>46126</v>
      </c>
      <c r="H280" s="2">
        <v>46160</v>
      </c>
      <c r="I280" s="2">
        <v>46128</v>
      </c>
      <c r="J280" s="2" t="s">
        <v>315</v>
      </c>
      <c r="L280" s="2">
        <v>46174</v>
      </c>
      <c r="M280" s="2">
        <v>46155</v>
      </c>
      <c r="N280" s="2">
        <v>46185</v>
      </c>
      <c r="O280" s="2">
        <v>46177</v>
      </c>
      <c r="P280" s="2">
        <v>46199</v>
      </c>
      <c r="Q280" s="2">
        <v>46199</v>
      </c>
      <c r="R280" s="2">
        <v>46206</v>
      </c>
      <c r="S280" s="1">
        <v>1</v>
      </c>
    </row>
    <row r="281" spans="1:19" x14ac:dyDescent="0.3">
      <c r="A281" s="1">
        <v>26089</v>
      </c>
      <c r="B281" s="1" t="s">
        <v>35</v>
      </c>
      <c r="C281" s="3" t="s">
        <v>422</v>
      </c>
      <c r="D281" s="4">
        <v>1000</v>
      </c>
      <c r="E281" s="2" t="s">
        <v>398</v>
      </c>
      <c r="F281" s="2">
        <v>46125</v>
      </c>
      <c r="G281" s="2">
        <v>46127</v>
      </c>
      <c r="H281" s="2">
        <v>46163</v>
      </c>
      <c r="I281" s="2">
        <v>46127</v>
      </c>
      <c r="J281" s="2" t="s">
        <v>315</v>
      </c>
      <c r="L281" s="2">
        <v>46174</v>
      </c>
      <c r="M281" s="2">
        <v>46155</v>
      </c>
      <c r="N281" s="2">
        <v>46178</v>
      </c>
      <c r="O281" s="2">
        <v>46177</v>
      </c>
      <c r="P281" s="2">
        <v>46199</v>
      </c>
      <c r="Q281" s="2">
        <v>46199</v>
      </c>
      <c r="R281" s="2">
        <v>46199</v>
      </c>
      <c r="S281" s="1">
        <v>1</v>
      </c>
    </row>
    <row r="282" spans="1:19" x14ac:dyDescent="0.3">
      <c r="A282" s="1">
        <v>26090</v>
      </c>
      <c r="B282" s="1" t="s">
        <v>51</v>
      </c>
      <c r="C282" s="3" t="s">
        <v>430</v>
      </c>
      <c r="D282" s="4">
        <v>2000</v>
      </c>
      <c r="E282" s="2" t="s">
        <v>398</v>
      </c>
      <c r="F282" s="2">
        <v>46126</v>
      </c>
      <c r="G282" s="2">
        <v>46126</v>
      </c>
      <c r="H282" s="2">
        <v>46176</v>
      </c>
      <c r="I282" s="2">
        <v>46136</v>
      </c>
      <c r="J282" s="2">
        <v>46129</v>
      </c>
      <c r="L282" s="2">
        <v>46174</v>
      </c>
      <c r="M282" s="2">
        <v>46155</v>
      </c>
      <c r="N282" s="2">
        <v>46185</v>
      </c>
      <c r="O282" s="2">
        <v>46177</v>
      </c>
      <c r="P282" s="2">
        <v>46177</v>
      </c>
      <c r="Q282" s="2">
        <v>46199</v>
      </c>
      <c r="R282" s="2">
        <v>46199</v>
      </c>
      <c r="S282" s="1">
        <v>1</v>
      </c>
    </row>
    <row r="283" spans="1:19" x14ac:dyDescent="0.3">
      <c r="A283" s="1">
        <v>26091</v>
      </c>
    </row>
    <row r="284" spans="1:19" x14ac:dyDescent="0.3">
      <c r="A284" s="1">
        <v>26092</v>
      </c>
    </row>
    <row r="285" spans="1:19" x14ac:dyDescent="0.3">
      <c r="A285" s="1">
        <v>26093</v>
      </c>
    </row>
    <row r="286" spans="1:19" x14ac:dyDescent="0.3">
      <c r="A286" s="1">
        <v>26094</v>
      </c>
      <c r="B286" s="1" t="s">
        <v>111</v>
      </c>
      <c r="C286" s="3" t="s">
        <v>431</v>
      </c>
      <c r="D286" s="4">
        <v>1000</v>
      </c>
      <c r="E286" s="2" t="s">
        <v>179</v>
      </c>
      <c r="F286" s="2">
        <v>46127</v>
      </c>
      <c r="I286" s="2" t="s">
        <v>432</v>
      </c>
      <c r="J286" s="2" t="s">
        <v>315</v>
      </c>
      <c r="L286" s="2">
        <v>46169</v>
      </c>
      <c r="M286" s="2">
        <v>46155</v>
      </c>
      <c r="O286" s="2">
        <v>46171</v>
      </c>
      <c r="P286" s="2">
        <v>46199</v>
      </c>
      <c r="Q286" s="2">
        <v>46199</v>
      </c>
      <c r="R286" s="2">
        <v>46199</v>
      </c>
      <c r="S286" s="1">
        <v>1</v>
      </c>
    </row>
    <row r="287" spans="1:19" x14ac:dyDescent="0.3">
      <c r="A287" s="1">
        <v>26095</v>
      </c>
    </row>
    <row r="288" spans="1:19" x14ac:dyDescent="0.3">
      <c r="A288" s="1">
        <v>26096</v>
      </c>
    </row>
    <row r="289" spans="1:19" x14ac:dyDescent="0.3">
      <c r="A289" s="1">
        <v>26097</v>
      </c>
    </row>
    <row r="290" spans="1:19" x14ac:dyDescent="0.3">
      <c r="A290" s="1">
        <v>26098</v>
      </c>
      <c r="B290" s="1" t="s">
        <v>423</v>
      </c>
      <c r="C290" s="3" t="s">
        <v>424</v>
      </c>
      <c r="D290" s="4">
        <v>100</v>
      </c>
      <c r="F290" s="2">
        <v>46142</v>
      </c>
      <c r="K290" s="2">
        <v>46157</v>
      </c>
      <c r="L290" s="2">
        <v>46163</v>
      </c>
      <c r="O290" s="2">
        <v>46184</v>
      </c>
      <c r="P290" s="2">
        <v>46192</v>
      </c>
      <c r="Q290" s="2">
        <v>46192</v>
      </c>
      <c r="R290" s="2">
        <v>46192</v>
      </c>
      <c r="S290" s="1">
        <v>1</v>
      </c>
    </row>
    <row r="291" spans="1:19" x14ac:dyDescent="0.3">
      <c r="A291" s="1">
        <v>26099</v>
      </c>
      <c r="B291" s="1" t="s">
        <v>58</v>
      </c>
      <c r="C291" s="3" t="s">
        <v>59</v>
      </c>
      <c r="D291" s="4">
        <v>1000</v>
      </c>
      <c r="E291" s="2" t="s">
        <v>128</v>
      </c>
      <c r="F291" s="2">
        <v>46140</v>
      </c>
      <c r="G291" s="2">
        <v>46139</v>
      </c>
      <c r="H291" s="2">
        <v>46157</v>
      </c>
      <c r="I291" s="2">
        <v>46162</v>
      </c>
      <c r="J291" s="2" t="s">
        <v>315</v>
      </c>
      <c r="K291" s="2">
        <v>46169</v>
      </c>
      <c r="L291" s="2">
        <v>46170</v>
      </c>
      <c r="N291" s="2">
        <v>46164</v>
      </c>
      <c r="O291" s="2">
        <v>46177</v>
      </c>
      <c r="P291" s="2">
        <v>46199</v>
      </c>
      <c r="Q291" s="2">
        <v>46206</v>
      </c>
      <c r="R291" s="2">
        <v>46206</v>
      </c>
      <c r="S291" s="1">
        <v>1</v>
      </c>
    </row>
    <row r="292" spans="1:19" x14ac:dyDescent="0.3">
      <c r="A292" s="1">
        <v>26100</v>
      </c>
      <c r="B292" s="1" t="s">
        <v>264</v>
      </c>
      <c r="C292" s="3" t="s">
        <v>406</v>
      </c>
      <c r="D292" s="4">
        <v>3300</v>
      </c>
    </row>
    <row r="293" spans="1:19" x14ac:dyDescent="0.3">
      <c r="A293" s="1">
        <v>26101</v>
      </c>
    </row>
    <row r="294" spans="1:19" x14ac:dyDescent="0.3">
      <c r="A294" s="1">
        <v>26102</v>
      </c>
    </row>
    <row r="295" spans="1:19" x14ac:dyDescent="0.3">
      <c r="A295" s="1">
        <v>26103</v>
      </c>
      <c r="B295" s="1" t="s">
        <v>17</v>
      </c>
      <c r="C295" s="3" t="s">
        <v>433</v>
      </c>
      <c r="D295" s="4">
        <v>3000</v>
      </c>
      <c r="E295" s="2" t="s">
        <v>128</v>
      </c>
      <c r="F295" s="2">
        <v>46148</v>
      </c>
      <c r="G295" s="2">
        <v>46150</v>
      </c>
      <c r="H295" s="2">
        <v>46181</v>
      </c>
      <c r="I295" s="2">
        <v>46153</v>
      </c>
      <c r="J295" s="2" t="s">
        <v>315</v>
      </c>
      <c r="L295" s="2">
        <v>46171</v>
      </c>
      <c r="N295" s="2">
        <v>46178</v>
      </c>
      <c r="O295" s="2">
        <v>46177</v>
      </c>
      <c r="P295" s="2">
        <v>46199</v>
      </c>
      <c r="Q295" s="2">
        <v>46199</v>
      </c>
      <c r="R295" s="2">
        <v>46199</v>
      </c>
      <c r="S295" s="1">
        <v>1</v>
      </c>
    </row>
    <row r="296" spans="1:19" x14ac:dyDescent="0.3">
      <c r="A296" s="1">
        <v>26104</v>
      </c>
      <c r="B296" s="1" t="s">
        <v>97</v>
      </c>
      <c r="C296" s="3" t="s">
        <v>434</v>
      </c>
      <c r="D296" s="4">
        <v>7000</v>
      </c>
      <c r="F296" s="2">
        <v>46148</v>
      </c>
      <c r="G296" s="2">
        <v>46147</v>
      </c>
      <c r="H296" s="2">
        <v>46161</v>
      </c>
      <c r="I296" s="2">
        <v>46155</v>
      </c>
      <c r="J296" s="2">
        <v>46168</v>
      </c>
      <c r="K296" s="2">
        <v>46169</v>
      </c>
      <c r="L296" s="2">
        <v>46177</v>
      </c>
      <c r="N296" s="2">
        <v>46178</v>
      </c>
      <c r="O296" s="2">
        <v>46184</v>
      </c>
      <c r="P296" s="2">
        <v>46206</v>
      </c>
      <c r="Q296" s="2">
        <v>46199</v>
      </c>
      <c r="R296" s="2">
        <v>46199</v>
      </c>
      <c r="S296" s="1">
        <v>1</v>
      </c>
    </row>
    <row r="297" spans="1:19" x14ac:dyDescent="0.3">
      <c r="A297" s="1">
        <v>26105</v>
      </c>
      <c r="B297" s="1" t="s">
        <v>442</v>
      </c>
      <c r="C297" s="3" t="s">
        <v>443</v>
      </c>
      <c r="D297" s="4">
        <v>2000</v>
      </c>
      <c r="E297" s="2" t="s">
        <v>128</v>
      </c>
      <c r="F297" s="2">
        <v>46148</v>
      </c>
      <c r="G297" s="2">
        <v>46149</v>
      </c>
      <c r="H297" s="2">
        <v>46237</v>
      </c>
      <c r="I297" s="2">
        <v>46163</v>
      </c>
      <c r="J297" s="2">
        <v>46148</v>
      </c>
      <c r="L297" s="2">
        <v>46198</v>
      </c>
      <c r="P297" s="2">
        <v>46238</v>
      </c>
      <c r="Q297" s="2">
        <v>46262</v>
      </c>
      <c r="R297" s="2">
        <v>46262</v>
      </c>
      <c r="S297" s="1">
        <v>1</v>
      </c>
    </row>
    <row r="298" spans="1:19" x14ac:dyDescent="0.3">
      <c r="A298" s="1">
        <v>26106</v>
      </c>
    </row>
    <row r="299" spans="1:19" x14ac:dyDescent="0.3">
      <c r="A299" s="1">
        <v>26107</v>
      </c>
      <c r="B299" s="1" t="s">
        <v>419</v>
      </c>
      <c r="C299" s="3" t="s">
        <v>444</v>
      </c>
      <c r="D299" s="4">
        <v>4000</v>
      </c>
      <c r="F299" s="2">
        <v>46227</v>
      </c>
      <c r="L299" s="2">
        <v>46232</v>
      </c>
      <c r="P299" s="2">
        <v>46238</v>
      </c>
      <c r="Q299" s="2">
        <v>46255</v>
      </c>
      <c r="R299" s="2">
        <v>46255</v>
      </c>
      <c r="S299" s="1">
        <v>1</v>
      </c>
    </row>
    <row r="300" spans="1:19" x14ac:dyDescent="0.3">
      <c r="A300" s="1">
        <v>26108</v>
      </c>
    </row>
    <row r="301" spans="1:19" x14ac:dyDescent="0.3">
      <c r="A301" s="1">
        <v>26109</v>
      </c>
    </row>
    <row r="302" spans="1:19" x14ac:dyDescent="0.3">
      <c r="A302" s="1">
        <v>26110</v>
      </c>
    </row>
    <row r="303" spans="1:19" x14ac:dyDescent="0.3">
      <c r="A303" s="1">
        <v>26111</v>
      </c>
    </row>
    <row r="304" spans="1:19" x14ac:dyDescent="0.3">
      <c r="A304" s="1">
        <v>26112</v>
      </c>
    </row>
    <row r="305" spans="1:19" x14ac:dyDescent="0.3">
      <c r="A305" s="1">
        <v>26113</v>
      </c>
    </row>
    <row r="306" spans="1:19" x14ac:dyDescent="0.3">
      <c r="A306" s="1">
        <v>26114</v>
      </c>
      <c r="B306" s="1" t="s">
        <v>445</v>
      </c>
      <c r="C306" s="3" t="s">
        <v>446</v>
      </c>
      <c r="D306" s="4">
        <v>3000</v>
      </c>
      <c r="E306" s="2" t="s">
        <v>398</v>
      </c>
      <c r="F306" s="2">
        <v>46148</v>
      </c>
      <c r="G306" s="2">
        <v>46153</v>
      </c>
      <c r="H306" s="2">
        <v>46174</v>
      </c>
      <c r="I306" s="2">
        <v>46188</v>
      </c>
      <c r="J306" s="2">
        <v>46192</v>
      </c>
      <c r="L306" s="2">
        <v>46202</v>
      </c>
      <c r="M306" s="2">
        <v>46177</v>
      </c>
      <c r="O306" s="2">
        <v>46234</v>
      </c>
      <c r="P306" s="2">
        <v>46238</v>
      </c>
      <c r="Q306" s="2">
        <v>46262</v>
      </c>
      <c r="R306" s="2">
        <v>46262</v>
      </c>
      <c r="S306" s="1">
        <v>2</v>
      </c>
    </row>
    <row r="307" spans="1:19" x14ac:dyDescent="0.3">
      <c r="A307" s="1">
        <v>26115</v>
      </c>
      <c r="B307" s="1" t="s">
        <v>62</v>
      </c>
      <c r="C307" s="3" t="s">
        <v>435</v>
      </c>
      <c r="D307" s="4">
        <v>3100</v>
      </c>
      <c r="F307" s="2">
        <v>46160</v>
      </c>
      <c r="G307" s="2" t="s">
        <v>199</v>
      </c>
      <c r="H307" s="2" t="s">
        <v>199</v>
      </c>
      <c r="I307" s="2">
        <v>46170</v>
      </c>
      <c r="J307" s="2">
        <v>46170</v>
      </c>
      <c r="K307" s="2" t="s">
        <v>199</v>
      </c>
      <c r="L307" s="2">
        <v>46177</v>
      </c>
      <c r="M307" s="2">
        <v>46177</v>
      </c>
      <c r="N307" s="2" t="s">
        <v>199</v>
      </c>
      <c r="O307" s="2">
        <v>46184</v>
      </c>
      <c r="P307" s="2">
        <v>46206</v>
      </c>
      <c r="Q307" s="2">
        <v>46199</v>
      </c>
      <c r="R307" s="2">
        <v>46199</v>
      </c>
      <c r="S307" s="1">
        <v>1</v>
      </c>
    </row>
    <row r="308" spans="1:19" x14ac:dyDescent="0.3">
      <c r="A308" s="1">
        <v>26116</v>
      </c>
    </row>
    <row r="309" spans="1:19" x14ac:dyDescent="0.3">
      <c r="A309" s="1">
        <v>26117</v>
      </c>
    </row>
    <row r="310" spans="1:19" x14ac:dyDescent="0.3">
      <c r="A310" s="1">
        <v>26118</v>
      </c>
    </row>
    <row r="311" spans="1:19" x14ac:dyDescent="0.3">
      <c r="A311" s="1">
        <v>26119</v>
      </c>
    </row>
    <row r="312" spans="1:19" x14ac:dyDescent="0.3">
      <c r="A312" s="1">
        <v>26120</v>
      </c>
    </row>
    <row r="313" spans="1:19" x14ac:dyDescent="0.3">
      <c r="A313" s="1">
        <v>26121</v>
      </c>
      <c r="B313" s="1" t="s">
        <v>447</v>
      </c>
      <c r="C313" s="3" t="s">
        <v>448</v>
      </c>
      <c r="D313" s="4">
        <v>2000</v>
      </c>
      <c r="E313" s="2" t="s">
        <v>398</v>
      </c>
      <c r="F313" s="2">
        <v>46168</v>
      </c>
      <c r="G313" s="2">
        <v>46168</v>
      </c>
      <c r="H313" s="2">
        <v>46204</v>
      </c>
      <c r="I313" s="2">
        <v>46192</v>
      </c>
      <c r="J313" s="2">
        <v>46190</v>
      </c>
      <c r="L313" s="2">
        <v>46203</v>
      </c>
      <c r="M313" s="2">
        <v>46209</v>
      </c>
      <c r="N313" s="2">
        <v>46206</v>
      </c>
      <c r="O313" s="2">
        <v>46205</v>
      </c>
      <c r="P313" s="2">
        <v>46262</v>
      </c>
      <c r="Q313" s="2">
        <v>46262</v>
      </c>
      <c r="R313" s="2">
        <v>46262</v>
      </c>
      <c r="S313" s="1">
        <v>1</v>
      </c>
    </row>
    <row r="314" spans="1:19" x14ac:dyDescent="0.3">
      <c r="A314" s="1">
        <v>26122</v>
      </c>
    </row>
    <row r="315" spans="1:19" x14ac:dyDescent="0.3">
      <c r="A315" s="1">
        <v>26123</v>
      </c>
    </row>
    <row r="316" spans="1:19" x14ac:dyDescent="0.3">
      <c r="A316" s="1">
        <v>26124</v>
      </c>
    </row>
    <row r="317" spans="1:19" x14ac:dyDescent="0.3">
      <c r="A317" s="1">
        <v>26125</v>
      </c>
      <c r="B317" s="1" t="s">
        <v>51</v>
      </c>
      <c r="C317" s="3" t="s">
        <v>449</v>
      </c>
      <c r="D317" s="4">
        <v>1300</v>
      </c>
      <c r="E317" s="2" t="s">
        <v>398</v>
      </c>
      <c r="F317" s="2">
        <v>46169</v>
      </c>
      <c r="G317" s="2">
        <v>46169</v>
      </c>
      <c r="H317" s="2">
        <v>46176</v>
      </c>
      <c r="I317" s="2">
        <v>46203</v>
      </c>
      <c r="J317" s="2">
        <v>46191</v>
      </c>
      <c r="L317" s="2">
        <v>46224</v>
      </c>
      <c r="M317" s="2">
        <v>46209</v>
      </c>
      <c r="N317" s="2">
        <v>46213</v>
      </c>
      <c r="O317" s="2">
        <v>46241</v>
      </c>
      <c r="P317" s="2">
        <v>46255</v>
      </c>
      <c r="Q317" s="2">
        <v>46255</v>
      </c>
      <c r="R317" s="2">
        <v>46255</v>
      </c>
      <c r="S317" s="1">
        <v>1</v>
      </c>
    </row>
  </sheetData>
  <autoFilter ref="A1:AN254" xr:uid="{190F9780-89AB-46EF-A444-DE15B57A012F}"/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 t="shared" ref="D2:D33" si="0"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 t="shared" si="0"/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 t="shared" si="0"/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 t="shared" si="0"/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 t="shared" si="0"/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 t="shared" si="0"/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 t="shared" si="0"/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 t="shared" si="0"/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 t="shared" si="0"/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 t="shared" si="0"/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 t="shared" si="0"/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 t="shared" si="0"/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 t="shared" si="0"/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 t="shared" si="0"/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 t="shared" si="0"/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 t="shared" si="0"/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 t="shared" si="0"/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 t="shared" si="0"/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 t="shared" si="0"/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 t="shared" si="0"/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 t="shared" si="0"/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 t="shared" si="0"/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 t="shared" si="0"/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 t="shared" si="0"/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 t="shared" si="0"/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 t="shared" si="0"/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 t="shared" si="0"/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 t="shared" si="0"/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 t="shared" si="0"/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 t="shared" si="0"/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 t="shared" si="0"/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 t="shared" si="0"/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 t="shared" ref="D34:D65" si="1"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 t="shared" si="1"/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 t="shared" si="1"/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 t="shared" si="1"/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 t="shared" si="1"/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 t="shared" si="1"/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 t="shared" si="1"/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 t="shared" si="1"/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 t="shared" si="1"/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 t="shared" si="1"/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 t="shared" si="1"/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 t="shared" si="1"/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 t="shared" si="1"/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 t="shared" si="1"/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 t="shared" si="1"/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 t="shared" si="1"/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 t="shared" si="1"/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 t="shared" si="1"/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 t="shared" si="1"/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 t="shared" si="1"/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 t="shared" si="1"/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 t="shared" si="1"/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 t="shared" si="1"/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 t="shared" si="1"/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 t="shared" si="1"/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 t="shared" si="1"/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 t="shared" si="1"/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 t="shared" si="1"/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 t="shared" si="1"/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 t="shared" si="1"/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 t="shared" si="1"/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 t="shared" si="1"/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 t="shared" ref="D66:D97" si="2"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 t="shared" si="2"/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 t="shared" si="2"/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 t="shared" si="2"/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 t="shared" si="2"/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 t="shared" si="2"/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 t="shared" si="2"/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 t="shared" si="2"/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 t="shared" si="2"/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 t="shared" si="2"/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 t="shared" si="2"/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 t="shared" si="2"/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 t="shared" si="2"/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 t="shared" si="2"/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 t="shared" si="2"/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 t="shared" si="2"/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 t="shared" si="2"/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 t="shared" si="2"/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 t="shared" si="2"/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 t="shared" si="2"/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 t="shared" si="2"/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 t="shared" si="2"/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 t="shared" si="2"/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 t="shared" si="2"/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 t="shared" si="2"/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 t="shared" si="2"/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 t="shared" si="2"/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 t="shared" si="2"/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 t="shared" si="2"/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 t="shared" si="2"/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 t="shared" si="2"/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 t="shared" si="2"/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 t="shared" ref="D98:D129" si="3"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 t="shared" si="3"/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 t="shared" si="3"/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 t="shared" si="3"/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 t="shared" si="3"/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 t="shared" si="3"/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 t="shared" si="3"/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 t="shared" si="3"/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 t="shared" si="3"/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 t="shared" si="3"/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 t="shared" si="3"/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 t="shared" si="3"/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 t="shared" si="3"/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 t="shared" si="3"/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 t="shared" si="3"/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 t="shared" si="3"/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 t="shared" si="3"/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 t="shared" si="3"/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 t="shared" si="3"/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 t="shared" si="3"/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 t="shared" si="3"/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 t="shared" si="3"/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 t="shared" si="3"/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 t="shared" si="3"/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 t="shared" si="3"/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 t="shared" si="3"/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 t="shared" si="3"/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 t="shared" si="3"/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 t="shared" si="3"/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 t="shared" si="3"/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 t="shared" si="3"/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 t="shared" si="3"/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 t="shared" ref="D130:D161" si="4"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 t="shared" si="4"/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 t="shared" si="4"/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 t="shared" si="4"/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 t="shared" si="4"/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 t="shared" si="4"/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 t="shared" si="4"/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 t="shared" si="4"/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 t="shared" si="4"/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 t="shared" si="4"/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 t="shared" si="4"/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 t="shared" si="4"/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 t="shared" si="4"/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 t="shared" si="4"/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 t="shared" si="4"/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 t="shared" si="4"/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 t="shared" si="4"/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 t="shared" si="4"/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 t="shared" si="4"/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 t="shared" si="4"/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 t="shared" si="4"/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 t="shared" si="4"/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 t="shared" si="4"/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 t="shared" si="4"/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 t="shared" si="4"/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 t="shared" si="4"/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 t="shared" si="4"/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 t="shared" si="4"/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 t="shared" si="4"/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 t="shared" si="4"/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 t="shared" si="4"/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 t="shared" si="4"/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 t="shared" ref="D162" si="5"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Props1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2026-09-02T09:50:30Z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