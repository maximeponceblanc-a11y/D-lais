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nceblanc.sharepoint.com/Documents partages/Administratif/PROJET/10 - ANALYSE DELAIS/"/>
    </mc:Choice>
  </mc:AlternateContent>
  <xr:revisionPtr revIDLastSave="3097" documentId="13_ncr:1_{812CE923-C0E5-444E-8B27-77724A147C38}" xr6:coauthVersionLast="47" xr6:coauthVersionMax="47" xr10:uidLastSave="{3D7F0555-5BCE-42B2-95EA-D5E8BBF02CB9}"/>
  <bookViews>
    <workbookView xWindow="28680" yWindow="-14955" windowWidth="38640" windowHeight="21120" xr2:uid="{478E8588-9645-4D74-8111-5BE0695A9D8D}"/>
  </bookViews>
  <sheets>
    <sheet name="Feuil1" sheetId="1" r:id="rId1"/>
    <sheet name="Feuil3" sheetId="3" r:id="rId2"/>
  </sheets>
  <externalReferences>
    <externalReference r:id="rId3"/>
  </externalReferences>
  <definedNames>
    <definedName name="_xlnm._FilterDatabase" localSheetId="0" hidden="1">Feuil1!$A$1:$AR$317</definedName>
    <definedName name="_xlnm._FilterDatabase" localSheetId="1" hidden="1">Feuil3!$A$1:$D$162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2" i="1"/>
  <c r="Y3" i="1"/>
  <c r="Y4" i="1"/>
  <c r="Y5" i="1"/>
  <c r="Y6" i="1"/>
  <c r="Y7" i="1"/>
  <c r="Y8" i="1"/>
  <c r="Y9" i="1"/>
  <c r="Y10" i="1"/>
  <c r="Y11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2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D31" i="3"/>
  <c r="D32" i="3"/>
  <c r="D33" i="3"/>
  <c r="D34" i="3"/>
  <c r="D35" i="3"/>
  <c r="D36" i="3"/>
  <c r="D156" i="3"/>
  <c r="D37" i="3"/>
  <c r="D38" i="3"/>
  <c r="D12" i="3"/>
  <c r="D39" i="3"/>
  <c r="D13" i="3"/>
  <c r="D40" i="3"/>
  <c r="D41" i="3"/>
  <c r="D14" i="3"/>
  <c r="D42" i="3"/>
  <c r="D15" i="3"/>
  <c r="D43" i="3"/>
  <c r="D44" i="3"/>
  <c r="D45" i="3"/>
  <c r="D149" i="3"/>
  <c r="D46" i="3"/>
  <c r="D150" i="3"/>
  <c r="D47" i="3"/>
  <c r="D16" i="3"/>
  <c r="D48" i="3"/>
  <c r="D49" i="3"/>
  <c r="D17" i="3"/>
  <c r="D151" i="3"/>
  <c r="D50" i="3"/>
  <c r="D51" i="3"/>
  <c r="D52" i="3"/>
  <c r="D53" i="3"/>
  <c r="D54" i="3"/>
  <c r="D55" i="3"/>
  <c r="D56" i="3"/>
  <c r="D57" i="3"/>
  <c r="D58" i="3"/>
  <c r="D162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18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7" i="3"/>
  <c r="D19" i="3"/>
  <c r="D93" i="3"/>
  <c r="D94" i="3"/>
  <c r="D9" i="3"/>
  <c r="D95" i="3"/>
  <c r="D96" i="3"/>
  <c r="D97" i="3"/>
  <c r="D98" i="3"/>
  <c r="D99" i="3"/>
  <c r="D100" i="3"/>
  <c r="D101" i="3"/>
  <c r="D102" i="3"/>
  <c r="D103" i="3"/>
  <c r="D104" i="3"/>
  <c r="D105" i="3"/>
  <c r="D106" i="3"/>
  <c r="D20" i="3"/>
  <c r="D107" i="3"/>
  <c r="D108" i="3"/>
  <c r="D21" i="3"/>
  <c r="D10" i="3"/>
  <c r="D109" i="3"/>
  <c r="D2" i="3"/>
  <c r="D110" i="3"/>
  <c r="D111" i="3"/>
  <c r="D112" i="3"/>
  <c r="D113" i="3"/>
  <c r="D4" i="3"/>
  <c r="D5" i="3"/>
  <c r="D114" i="3"/>
  <c r="D3" i="3"/>
  <c r="D28" i="3"/>
  <c r="D22" i="3"/>
  <c r="D23" i="3"/>
  <c r="D115" i="3"/>
  <c r="D8" i="3"/>
  <c r="D116" i="3"/>
  <c r="D117" i="3"/>
  <c r="D147" i="3"/>
  <c r="D118" i="3"/>
  <c r="D119" i="3"/>
  <c r="D157" i="3"/>
  <c r="D120" i="3"/>
  <c r="D121" i="3"/>
  <c r="D122" i="3"/>
  <c r="D123" i="3"/>
  <c r="D152" i="3"/>
  <c r="D124" i="3"/>
  <c r="D125" i="3"/>
  <c r="D161" i="3"/>
  <c r="D126" i="3"/>
  <c r="D24" i="3"/>
  <c r="D127" i="3"/>
  <c r="D128" i="3"/>
  <c r="D129" i="3"/>
  <c r="D25" i="3"/>
  <c r="D130" i="3"/>
  <c r="D131" i="3"/>
  <c r="D132" i="3"/>
  <c r="D133" i="3"/>
  <c r="D158" i="3"/>
  <c r="D148" i="3"/>
  <c r="D153" i="3"/>
  <c r="D154" i="3"/>
  <c r="D159" i="3"/>
  <c r="D26" i="3"/>
  <c r="D29" i="3"/>
  <c r="D134" i="3"/>
  <c r="D6" i="3"/>
  <c r="D135" i="3"/>
  <c r="D136" i="3"/>
  <c r="D137" i="3"/>
  <c r="D138" i="3"/>
  <c r="D139" i="3"/>
  <c r="D11" i="3"/>
  <c r="D140" i="3"/>
  <c r="D27" i="3"/>
  <c r="D146" i="3"/>
  <c r="D141" i="3"/>
  <c r="D142" i="3"/>
  <c r="D143" i="3"/>
  <c r="D144" i="3"/>
  <c r="D160" i="3"/>
  <c r="D145" i="3"/>
  <c r="D155" i="3"/>
  <c r="D30" i="3"/>
  <c r="AP3" i="1"/>
  <c r="AP4" i="1"/>
  <c r="AP5" i="1"/>
  <c r="AP6" i="1"/>
  <c r="AP7" i="1"/>
  <c r="AP8" i="1"/>
  <c r="AP9" i="1"/>
  <c r="AP10" i="1"/>
  <c r="AP11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" i="1"/>
  <c r="AQ17" i="1"/>
  <c r="AQ3" i="1"/>
  <c r="AQ4" i="1"/>
  <c r="AQ5" i="1"/>
  <c r="AQ6" i="1"/>
  <c r="AQ7" i="1"/>
  <c r="AQ8" i="1"/>
  <c r="AQ9" i="1"/>
  <c r="AQ10" i="1"/>
  <c r="AQ11" i="1"/>
  <c r="AQ13" i="1"/>
  <c r="AQ14" i="1"/>
  <c r="AQ15" i="1"/>
  <c r="AQ16" i="1"/>
  <c r="AQ18" i="1"/>
  <c r="AQ19" i="1"/>
  <c r="AQ20" i="1"/>
  <c r="AQ21" i="1"/>
  <c r="AQ22" i="1"/>
  <c r="AQ23" i="1"/>
  <c r="AQ24" i="1"/>
  <c r="AQ25" i="1"/>
  <c r="AQ26" i="1"/>
  <c r="AQ27" i="1"/>
  <c r="AQ28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" i="1"/>
  <c r="AR2" i="1"/>
  <c r="AR3" i="1"/>
  <c r="AR4" i="1"/>
  <c r="AR5" i="1"/>
  <c r="AR6" i="1"/>
  <c r="AR7" i="1"/>
  <c r="AR8" i="1"/>
  <c r="AR9" i="1"/>
  <c r="AR10" i="1"/>
  <c r="AR11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D3" i="1"/>
  <c r="AD4" i="1"/>
  <c r="AD5" i="1"/>
  <c r="AD6" i="1"/>
  <c r="AD7" i="1"/>
  <c r="AD8" i="1"/>
  <c r="AD9" i="1"/>
  <c r="AD10" i="1"/>
  <c r="AD11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H9" i="1"/>
  <c r="AG2" i="1"/>
  <c r="AE14" i="1"/>
  <c r="AK3" i="1"/>
  <c r="AK4" i="1"/>
  <c r="AK5" i="1"/>
  <c r="AK6" i="1"/>
  <c r="AK7" i="1"/>
  <c r="AK8" i="1"/>
  <c r="AK9" i="1"/>
  <c r="AK10" i="1"/>
  <c r="AK11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5" i="1"/>
  <c r="AO6" i="1"/>
  <c r="AO7" i="1"/>
  <c r="AO8" i="1"/>
  <c r="AO9" i="1"/>
  <c r="AO10" i="1"/>
  <c r="AO11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30" i="1"/>
  <c r="AO31" i="1"/>
  <c r="AO32" i="1"/>
  <c r="AO33" i="1"/>
  <c r="AO34" i="1"/>
  <c r="AO35" i="1"/>
  <c r="AO36" i="1"/>
  <c r="AO37" i="1"/>
  <c r="AO38" i="1"/>
  <c r="AO3" i="1"/>
  <c r="AO4" i="1"/>
  <c r="AO2" i="1"/>
  <c r="AN3" i="1"/>
  <c r="AN4" i="1"/>
  <c r="AN5" i="1"/>
  <c r="AN6" i="1"/>
  <c r="AN7" i="1"/>
  <c r="AN8" i="1"/>
  <c r="AN9" i="1"/>
  <c r="AN10" i="1"/>
  <c r="AN11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" i="1"/>
  <c r="AI3" i="1"/>
  <c r="AI4" i="1"/>
  <c r="AI5" i="1"/>
  <c r="AI6" i="1"/>
  <c r="AI7" i="1"/>
  <c r="AI8" i="1"/>
  <c r="AI9" i="1"/>
  <c r="AI10" i="1"/>
  <c r="AI11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" i="1"/>
  <c r="AM3" i="1"/>
  <c r="AM4" i="1"/>
  <c r="AM5" i="1"/>
  <c r="AM6" i="1"/>
  <c r="AM7" i="1"/>
  <c r="AM8" i="1"/>
  <c r="AM9" i="1"/>
  <c r="AM10" i="1"/>
  <c r="AM11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" i="1"/>
  <c r="AL3" i="1"/>
  <c r="AL4" i="1"/>
  <c r="AL5" i="1"/>
  <c r="AL6" i="1"/>
  <c r="AL7" i="1"/>
  <c r="AL8" i="1"/>
  <c r="AL9" i="1"/>
  <c r="AL10" i="1"/>
  <c r="AL11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" i="1"/>
  <c r="AJ3" i="1"/>
  <c r="AJ4" i="1"/>
  <c r="AJ5" i="1"/>
  <c r="AJ6" i="1"/>
  <c r="AJ7" i="1"/>
  <c r="AJ8" i="1"/>
  <c r="AJ9" i="1"/>
  <c r="AJ10" i="1"/>
  <c r="AJ11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" i="1"/>
  <c r="AG3" i="1"/>
  <c r="AG4" i="1"/>
  <c r="AG5" i="1"/>
  <c r="AG6" i="1"/>
  <c r="AG7" i="1"/>
  <c r="AG8" i="1"/>
  <c r="AG9" i="1"/>
  <c r="AG10" i="1"/>
  <c r="AG11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F3" i="1"/>
  <c r="AF4" i="1"/>
  <c r="AF5" i="1"/>
  <c r="AF6" i="1"/>
  <c r="AF7" i="1"/>
  <c r="AF8" i="1"/>
  <c r="AF9" i="1"/>
  <c r="AF10" i="1"/>
  <c r="AF11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" i="1"/>
  <c r="AE2" i="1"/>
  <c r="AE3" i="1"/>
  <c r="AE4" i="1"/>
  <c r="AE5" i="1"/>
  <c r="AE6" i="1"/>
  <c r="AE7" i="1"/>
  <c r="AE8" i="1"/>
  <c r="AE9" i="1"/>
  <c r="AE10" i="1"/>
  <c r="AE11" i="1"/>
  <c r="AE13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H3" i="1"/>
  <c r="AH4" i="1"/>
  <c r="AH5" i="1"/>
  <c r="AH6" i="1"/>
  <c r="AH7" i="1"/>
  <c r="AH8" i="1"/>
  <c r="AH10" i="1"/>
  <c r="AH11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" i="1"/>
  <c r="AA3" i="1"/>
  <c r="AA4" i="1"/>
  <c r="AA5" i="1"/>
  <c r="AA6" i="1"/>
  <c r="AA7" i="1"/>
  <c r="AA8" i="1"/>
  <c r="AA9" i="1"/>
  <c r="AA10" i="1"/>
  <c r="AA11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" i="1"/>
  <c r="T130" i="1"/>
  <c r="AA130" i="1" s="1"/>
  <c r="T29" i="1"/>
  <c r="AH29" i="1" s="1"/>
  <c r="T12" i="1"/>
  <c r="AA12" i="1" s="1"/>
  <c r="Y12" i="1" l="1"/>
  <c r="Y130" i="1"/>
  <c r="Y29" i="1"/>
  <c r="AP29" i="1"/>
  <c r="AP12" i="1"/>
  <c r="AP130" i="1"/>
  <c r="AQ12" i="1"/>
  <c r="AQ130" i="1"/>
  <c r="AQ29" i="1"/>
  <c r="AR12" i="1"/>
  <c r="AR130" i="1"/>
  <c r="AR29" i="1"/>
  <c r="AD130" i="1"/>
  <c r="AD12" i="1"/>
  <c r="AD29" i="1"/>
  <c r="AK12" i="1"/>
  <c r="AK130" i="1"/>
  <c r="AK29" i="1"/>
  <c r="AO12" i="1"/>
  <c r="AO130" i="1"/>
  <c r="AO29" i="1"/>
  <c r="AN12" i="1"/>
  <c r="AN130" i="1"/>
  <c r="AN29" i="1"/>
  <c r="AI12" i="1"/>
  <c r="AM12" i="1"/>
  <c r="AL12" i="1"/>
  <c r="AI29" i="1"/>
  <c r="AI130" i="1"/>
  <c r="AJ130" i="1"/>
  <c r="AL130" i="1"/>
  <c r="AM130" i="1"/>
  <c r="AJ29" i="1"/>
  <c r="AM29" i="1"/>
  <c r="AL29" i="1"/>
  <c r="AJ12" i="1"/>
  <c r="AG12" i="1"/>
  <c r="AG130" i="1"/>
  <c r="AG29" i="1"/>
  <c r="AF130" i="1"/>
  <c r="AF12" i="1"/>
  <c r="AF29" i="1"/>
  <c r="AE12" i="1"/>
  <c r="AE130" i="1"/>
  <c r="AE29" i="1"/>
  <c r="AH130" i="1"/>
  <c r="AH12" i="1"/>
  <c r="AA29" i="1"/>
  <c r="D144" i="1" l="1"/>
  <c r="D168" i="1"/>
  <c r="D151" i="1"/>
  <c r="D143" i="1"/>
  <c r="D138" i="1"/>
  <c r="D137" i="1"/>
  <c r="D136" i="1"/>
  <c r="D135" i="1"/>
  <c r="D132" i="1"/>
  <c r="D131" i="1"/>
  <c r="D130" i="1"/>
  <c r="D129" i="1"/>
  <c r="D89" i="1"/>
</calcChain>
</file>

<file path=xl/sharedStrings.xml><?xml version="1.0" encoding="utf-8"?>
<sst xmlns="http://schemas.openxmlformats.org/spreadsheetml/2006/main" count="941" uniqueCount="455">
  <si>
    <t>FAB</t>
  </si>
  <si>
    <t>CLIENT</t>
  </si>
  <si>
    <t>NOM PRODUIT</t>
  </si>
  <si>
    <t>DATE COMMANDE</t>
  </si>
  <si>
    <t>DATE COMPLET MATIERE</t>
  </si>
  <si>
    <t>DATE FICHIER</t>
  </si>
  <si>
    <t>DATE IMPRESSION</t>
  </si>
  <si>
    <t>DATE CARTON</t>
  </si>
  <si>
    <t>WISMAR</t>
  </si>
  <si>
    <t>IVC</t>
  </si>
  <si>
    <t>NUANCIERS SAMPLEBOOK UDIREV</t>
  </si>
  <si>
    <t>NUANCERS BUILD PRO</t>
  </si>
  <si>
    <t>BUSHBOARD</t>
  </si>
  <si>
    <t>POLYFLOR</t>
  </si>
  <si>
    <t>NUANCIERS GEOTONE QUICKLAY</t>
  </si>
  <si>
    <t>PRESENTER SILENTFLOR</t>
  </si>
  <si>
    <t>DOUBLE SHADECARD SILENTFLOR</t>
  </si>
  <si>
    <t>GERFLOR</t>
  </si>
  <si>
    <t>CARTES LINO ART</t>
  </si>
  <si>
    <t>CARTES LIBERTEX</t>
  </si>
  <si>
    <t>TARKETT FR</t>
  </si>
  <si>
    <t>NUANCIERS ID CLICK ULTIMATE FR</t>
  </si>
  <si>
    <t>1000 FR</t>
  </si>
  <si>
    <t>3000 GB</t>
  </si>
  <si>
    <t>R-TEK MANUFACTURING</t>
  </si>
  <si>
    <t>NUANCIERS R-TILE</t>
  </si>
  <si>
    <t>NUANCIER CREATION 2025 - SOCCODA</t>
  </si>
  <si>
    <t>MALERBA</t>
  </si>
  <si>
    <t>LIASSES ELAN</t>
  </si>
  <si>
    <t>NUANCIERS CREATION DISTRIBUTION 2025 CROMOLOGY</t>
  </si>
  <si>
    <t>TAKETT DE</t>
  </si>
  <si>
    <t>NUANCIERS LINOLEUM DE</t>
  </si>
  <si>
    <t>ENNO ROGGEMANN</t>
  </si>
  <si>
    <t>LIASSES PRÜM</t>
  </si>
  <si>
    <t>BALSAN</t>
  </si>
  <si>
    <t>NUANCES</t>
  </si>
  <si>
    <t>PPG</t>
  </si>
  <si>
    <t>NUANCIERS MODUL RIGID 55 STUDIO</t>
  </si>
  <si>
    <t>PFLEIDERER</t>
  </si>
  <si>
    <t>WORKTOP</t>
  </si>
  <si>
    <t>SOLAYE</t>
  </si>
  <si>
    <t>EGGER FR</t>
  </si>
  <si>
    <t>NUANCIERS SOL IBERIA</t>
  </si>
  <si>
    <t>AMTICO UK</t>
  </si>
  <si>
    <t>MDLP</t>
  </si>
  <si>
    <t>DECOBAT II 
FT 500X330</t>
  </si>
  <si>
    <t>DECOBAT II 
FT 500X500</t>
  </si>
  <si>
    <t>DESIGN TILE</t>
  </si>
  <si>
    <t>MIPOLAM AFFINITY</t>
  </si>
  <si>
    <t>TLAY INITIAL FR</t>
  </si>
  <si>
    <t>TLAY INITIAL GB</t>
  </si>
  <si>
    <t>TARKETT SAS</t>
  </si>
  <si>
    <t>NUANCIERS CREATION 40&amp;55</t>
  </si>
  <si>
    <t>SOLISO</t>
  </si>
  <si>
    <t>CLASSEURS &amp; CARTES</t>
  </si>
  <si>
    <t>FORBO DE</t>
  </si>
  <si>
    <t>NUANCIERS KINGSPAN SAMPLE CARDS</t>
  </si>
  <si>
    <t>NUANCIERS  ITEC 319</t>
  </si>
  <si>
    <t>ARPA</t>
  </si>
  <si>
    <t>LIASSES TUET</t>
  </si>
  <si>
    <t>UNILIN</t>
  </si>
  <si>
    <t>FORM FOLDER</t>
  </si>
  <si>
    <t>TARKETT</t>
  </si>
  <si>
    <t>4000 INTER</t>
  </si>
  <si>
    <t>1500 FRENCH</t>
  </si>
  <si>
    <t>1000 ES</t>
  </si>
  <si>
    <t>400 IT</t>
  </si>
  <si>
    <t>500 UK</t>
  </si>
  <si>
    <t>3260 INTER</t>
  </si>
  <si>
    <t>600 DE</t>
  </si>
  <si>
    <t>500 ES</t>
  </si>
  <si>
    <t>500 IT</t>
  </si>
  <si>
    <t>440 UK/NORD</t>
  </si>
  <si>
    <t>MERMET</t>
  </si>
  <si>
    <t>JEUX ECHANTILLONS SUR CINTRES</t>
  </si>
  <si>
    <t>CARTES CREATION PPG</t>
  </si>
  <si>
    <t>PARIS PORTES</t>
  </si>
  <si>
    <t>ARTEPY</t>
  </si>
  <si>
    <t>BOX</t>
  </si>
  <si>
    <t>CREA 55 MIDDLE EST</t>
  </si>
  <si>
    <t>POLYREY</t>
  </si>
  <si>
    <t>UNILIN PANELS</t>
  </si>
  <si>
    <t xml:space="preserve">JEUX ECHANTILLONS HPL 30REF. </t>
  </si>
  <si>
    <t>DICA</t>
  </si>
  <si>
    <t>NUANCIERS STRATFIES &amp; COMPACT HPL</t>
  </si>
  <si>
    <t>AGIR</t>
  </si>
  <si>
    <t>NUANCIERS B-RIGID 55</t>
  </si>
  <si>
    <t>SOBOPLAC</t>
  </si>
  <si>
    <t>LIASSES INTENDANCES</t>
  </si>
  <si>
    <t>NUANCIERS LOGITEX ULTRA / ULTILATE 55</t>
  </si>
  <si>
    <t>JEUX DISPLAYS CREATION 2025</t>
  </si>
  <si>
    <t>UDIREV</t>
  </si>
  <si>
    <t>LIBERTY ROCK 40</t>
  </si>
  <si>
    <t>SOCODA</t>
  </si>
  <si>
    <t>COLL PP RESIDENCE</t>
  </si>
  <si>
    <t>COLL PP SWING</t>
  </si>
  <si>
    <t>DECOUPE 1 REF</t>
  </si>
  <si>
    <t>ADFORS</t>
  </si>
  <si>
    <t>AKZO</t>
  </si>
  <si>
    <t>CARUS</t>
  </si>
  <si>
    <t>DESERT</t>
  </si>
  <si>
    <t>GRIFFINE</t>
  </si>
  <si>
    <t>PONANT</t>
  </si>
  <si>
    <t>CARTES SATINE 5501</t>
  </si>
  <si>
    <t>SELECTEURS MERMET MEMBERS</t>
  </si>
  <si>
    <t>DUMAPLAST</t>
  </si>
  <si>
    <t>NUANCIERS INSPIRO</t>
  </si>
  <si>
    <t>LMS</t>
  </si>
  <si>
    <t>NUANCIERS SOLATECH 33/43 CF</t>
  </si>
  <si>
    <t>CARTES DURALEX 4500 QM 5%</t>
  </si>
  <si>
    <t>NUANCIERS SOUS COUCHE</t>
  </si>
  <si>
    <t>OBERFLEX</t>
  </si>
  <si>
    <t>NUANCIERS ESSENCE FINE</t>
  </si>
  <si>
    <t>STOCKFILMS UK</t>
  </si>
  <si>
    <t>CLASEURS OPALUX SWATCH FOLDER 2025</t>
  </si>
  <si>
    <t>NUANCIER ARMONIA 520/620</t>
  </si>
  <si>
    <t>NUANCIER URBAN LIVING 30</t>
  </si>
  <si>
    <t>NUANCIER ISAFE</t>
  </si>
  <si>
    <t>NUANCIER CENTRA</t>
  </si>
  <si>
    <t>NUANCIER BATIMAX</t>
  </si>
  <si>
    <t>MAISON DE LA PEINTURE</t>
  </si>
  <si>
    <t>NUANCIER B-RIGID 55 NEO</t>
  </si>
  <si>
    <t>NUANCIER KENNEDY TEMPO</t>
  </si>
  <si>
    <t>SWISSKRONO</t>
  </si>
  <si>
    <t>LIASSES TROPFENFACHER</t>
  </si>
  <si>
    <t>NUANCIER MIPOLAM SYMBIOZ GB</t>
  </si>
  <si>
    <t>QUANTITE</t>
  </si>
  <si>
    <t>TYPE NUANCIER</t>
  </si>
  <si>
    <t>LIASSE</t>
  </si>
  <si>
    <t>WETWALL OMEGA</t>
  </si>
  <si>
    <t>WETWALL OPTION</t>
  </si>
  <si>
    <t>WETWALL NUANCES</t>
  </si>
  <si>
    <t>WETWALL</t>
  </si>
  <si>
    <t>COUV + RABAT</t>
  </si>
  <si>
    <t>5VR</t>
  </si>
  <si>
    <t>1VP</t>
  </si>
  <si>
    <t>4VR</t>
  </si>
  <si>
    <t>LIASSE HPL</t>
  </si>
  <si>
    <t xml:space="preserve">PROGRMME TARAFLEX FR </t>
  </si>
  <si>
    <t>PROGRMME TARAFLEX GB</t>
  </si>
  <si>
    <t>6VR</t>
  </si>
  <si>
    <t>NUANCIERS FULL CREATION DE</t>
  </si>
  <si>
    <t>NUANCIERS FULL CREATION FR</t>
  </si>
  <si>
    <t>NUANCIERS FULL CREATION GB</t>
  </si>
  <si>
    <t>NUANCIERS CREATION 70 FR</t>
  </si>
  <si>
    <t>NUANCIERS CREATION 70 GB/DE</t>
  </si>
  <si>
    <t>CESAR</t>
  </si>
  <si>
    <t>LEON</t>
  </si>
  <si>
    <t>DARIUS</t>
  </si>
  <si>
    <t>3VR</t>
  </si>
  <si>
    <t>NUANCIERS COL'IN 30</t>
  </si>
  <si>
    <t>NUANCIERS COL'IN 55</t>
  </si>
  <si>
    <t>2X2VR</t>
  </si>
  <si>
    <t>2VP</t>
  </si>
  <si>
    <t>NUANCIERS SPACIA 26 COMMERCIAL</t>
  </si>
  <si>
    <t>NUANCIERS SPACIA 26 RESIDENTIAL</t>
  </si>
  <si>
    <t>COLL PP</t>
  </si>
  <si>
    <t>6 VR</t>
  </si>
  <si>
    <t xml:space="preserve">CLASSEUR </t>
  </si>
  <si>
    <t>PRIMERO</t>
  </si>
  <si>
    <t>VERSION 3</t>
  </si>
  <si>
    <t>ELECTO</t>
  </si>
  <si>
    <t>DIVINO</t>
  </si>
  <si>
    <t>ULTIMO</t>
  </si>
  <si>
    <t>WURTH</t>
  </si>
  <si>
    <t>2VR</t>
  </si>
  <si>
    <t>NUANCIERS ID SQUARE INTER</t>
  </si>
  <si>
    <t>NUANCIERS ID SQUARE ES</t>
  </si>
  <si>
    <t>NUANCIERS ID SQUARE IT</t>
  </si>
  <si>
    <t>NUANCIERS ID SQUARE UK</t>
  </si>
  <si>
    <t>NUANCIERS ID SQUARE FR</t>
  </si>
  <si>
    <t>NUANCIERS EXCELLENCE INTER</t>
  </si>
  <si>
    <t>NUANCIERS EXCELLENCE DE</t>
  </si>
  <si>
    <t>NUANCIERS EXCELLENCE ES</t>
  </si>
  <si>
    <t>NUANCIERS EXCELLENCE UK/NORD</t>
  </si>
  <si>
    <t>NUANCIERS EXCELLENCE IT</t>
  </si>
  <si>
    <t>CINTRES</t>
  </si>
  <si>
    <t>LIASSES TLP</t>
  </si>
  <si>
    <t>LIASSE PP</t>
  </si>
  <si>
    <t>BOITE</t>
  </si>
  <si>
    <t>NUANCIERS HPL POLYREY</t>
  </si>
  <si>
    <t>NUANCIERS HPL RESOLPAL</t>
  </si>
  <si>
    <t>JX ECH HPL</t>
  </si>
  <si>
    <t>NUANCIERS PREMIUM GB</t>
  </si>
  <si>
    <t>NUANCIERS PREMIUM FR</t>
  </si>
  <si>
    <t>LIASSE PVC</t>
  </si>
  <si>
    <t>THOR</t>
  </si>
  <si>
    <t>CHROME</t>
  </si>
  <si>
    <t>GLOW</t>
  </si>
  <si>
    <t>ORB</t>
  </si>
  <si>
    <t>PANNEAUX</t>
  </si>
  <si>
    <t>2 VR</t>
  </si>
  <si>
    <t xml:space="preserve">MEUBLE </t>
  </si>
  <si>
    <t>4VP</t>
  </si>
  <si>
    <t>9VP</t>
  </si>
  <si>
    <t>DATE COMMANDE MATIERE</t>
  </si>
  <si>
    <t>DATE VALID MODELE CLIENT</t>
  </si>
  <si>
    <t>PB DECOUPE</t>
  </si>
  <si>
    <t>PB IMPRESSION</t>
  </si>
  <si>
    <t>STOCK</t>
  </si>
  <si>
    <t>TYPE BLOCAGE</t>
  </si>
  <si>
    <t>ALLURA CLICK FLEXCORE</t>
  </si>
  <si>
    <t>LINO ART</t>
  </si>
  <si>
    <t xml:space="preserve">NB DEPART </t>
  </si>
  <si>
    <t>DEPART EN PROD MATIERE</t>
  </si>
  <si>
    <t>DEPART EN PROD TIRAGES &amp; ACHATS</t>
  </si>
  <si>
    <t>ANC MODELE</t>
  </si>
  <si>
    <t>LOOSELAY</t>
  </si>
  <si>
    <t>RUBY</t>
  </si>
  <si>
    <t>R TILE</t>
  </si>
  <si>
    <t>VOYAGEUR</t>
  </si>
  <si>
    <t>CARTE MOQUETTE</t>
  </si>
  <si>
    <t>ESP REV</t>
  </si>
  <si>
    <t>COLL PP LES ECO CREA</t>
  </si>
  <si>
    <t>COLL PP LES UNIS</t>
  </si>
  <si>
    <t>COLL PP LES ESSENTIELS</t>
  </si>
  <si>
    <t>300+500</t>
  </si>
  <si>
    <t>FORMICA</t>
  </si>
  <si>
    <t>COLL DOORS</t>
  </si>
  <si>
    <t>HPL</t>
  </si>
  <si>
    <t>ALLIOS</t>
  </si>
  <si>
    <t>VALISE MOQ</t>
  </si>
  <si>
    <t>VALISE</t>
  </si>
  <si>
    <t>ID 100</t>
  </si>
  <si>
    <t>CUSTODE + NUANCIER</t>
  </si>
  <si>
    <t>IQ GRANIT IQ EMIENT</t>
  </si>
  <si>
    <t>IQ EMINENT</t>
  </si>
  <si>
    <t>4 VR</t>
  </si>
  <si>
    <t>IQ MOTION</t>
  </si>
  <si>
    <t>ANTIGONE</t>
  </si>
  <si>
    <t>LEEUWENBURG</t>
  </si>
  <si>
    <t>NUANCIERS HPL</t>
  </si>
  <si>
    <t>FORBO NL</t>
  </si>
  <si>
    <t>SPHERA</t>
  </si>
  <si>
    <t>SARLON MODUL UP</t>
  </si>
  <si>
    <t>FLOTEX PLANK</t>
  </si>
  <si>
    <t>ALLURA DECIBEL</t>
  </si>
  <si>
    <t>COLL UGD</t>
  </si>
  <si>
    <t>COLL DELZONGLE</t>
  </si>
  <si>
    <t>MEGA CLIC</t>
  </si>
  <si>
    <t>TARASAFE ULTRA</t>
  </si>
  <si>
    <t>1 VP</t>
  </si>
  <si>
    <t>PREMIUM</t>
  </si>
  <si>
    <t>LINO SPORT</t>
  </si>
  <si>
    <t>IPERFORM</t>
  </si>
  <si>
    <t>ALSAFLOORING</t>
  </si>
  <si>
    <t>LIASSE BOIS</t>
  </si>
  <si>
    <t>INSPERO SELECT 10</t>
  </si>
  <si>
    <t>COLL TOILE DE VERRE</t>
  </si>
  <si>
    <t>TAPIS SUR MESURE</t>
  </si>
  <si>
    <t>SAFETRED</t>
  </si>
  <si>
    <t>NUANCIER R55 AKZO</t>
  </si>
  <si>
    <t>REVELA CROMOLOGY</t>
  </si>
  <si>
    <t>PVC AKZO</t>
  </si>
  <si>
    <t>FABER</t>
  </si>
  <si>
    <t>CARTE PLISSE</t>
  </si>
  <si>
    <t>BORELA DUO</t>
  </si>
  <si>
    <t>2 VP</t>
  </si>
  <si>
    <t>LIASSE PLAN TRAVAIL</t>
  </si>
  <si>
    <t>NORA</t>
  </si>
  <si>
    <t>NORAPLAN</t>
  </si>
  <si>
    <t>ULTRAGRIP</t>
  </si>
  <si>
    <t>OBJECTFLOR</t>
  </si>
  <si>
    <t>CAVALIO LOOSELAY</t>
  </si>
  <si>
    <t>SCAPA</t>
  </si>
  <si>
    <t>NUANCIER PVC</t>
  </si>
  <si>
    <t>NUANCIER PARQ BERRICHONE</t>
  </si>
  <si>
    <t>NUANCIER NATURE</t>
  </si>
  <si>
    <t>NUANCIER LAMES VINYL</t>
  </si>
  <si>
    <t>BOW WATERPOOL</t>
  </si>
  <si>
    <t>MSB</t>
  </si>
  <si>
    <t>NUANCIER TISSU</t>
  </si>
  <si>
    <t>NUANCIERS</t>
  </si>
  <si>
    <t>3X300</t>
  </si>
  <si>
    <t>SAFETY VINYL</t>
  </si>
  <si>
    <t>ARMONIA</t>
  </si>
  <si>
    <t>CAMARO</t>
  </si>
  <si>
    <t>COLONIA</t>
  </si>
  <si>
    <t>EXPONA WOOD</t>
  </si>
  <si>
    <t>EXPONA STONE</t>
  </si>
  <si>
    <t>EMP CONSEIL</t>
  </si>
  <si>
    <t>CREATION CROMOLOGY</t>
  </si>
  <si>
    <t>BAUMIT</t>
  </si>
  <si>
    <t>NUANCIER FACADE</t>
  </si>
  <si>
    <t>AQUASTEP</t>
  </si>
  <si>
    <t>2X250</t>
  </si>
  <si>
    <t>CGT</t>
  </si>
  <si>
    <t>PROTO</t>
  </si>
  <si>
    <t>LIASSE GEDIMAT</t>
  </si>
  <si>
    <t>CABRIO 2000</t>
  </si>
  <si>
    <t>CARTE TISSU</t>
  </si>
  <si>
    <t>2X150</t>
  </si>
  <si>
    <t>PANNEAU ID CONFORT</t>
  </si>
  <si>
    <t>BERRY</t>
  </si>
  <si>
    <t>NUANCIER SPE</t>
  </si>
  <si>
    <t>COLL PP INTERIOR</t>
  </si>
  <si>
    <t>LAMIDECOR 32</t>
  </si>
  <si>
    <t>PIXIS</t>
  </si>
  <si>
    <t>LAMIDECOR 33</t>
  </si>
  <si>
    <t>TOP FLOR</t>
  </si>
  <si>
    <t>2VR + 3VP+4VP</t>
  </si>
  <si>
    <t>2R + 2 VP + 3VP</t>
  </si>
  <si>
    <t>2VR + 2X8VP</t>
  </si>
  <si>
    <t>CLASSEUR + CARTE</t>
  </si>
  <si>
    <t>TISSUS</t>
  </si>
  <si>
    <t>3VR BOIS</t>
  </si>
  <si>
    <t>2VR BOIS</t>
  </si>
  <si>
    <t>2VR + 4 VP</t>
  </si>
  <si>
    <t>5VP</t>
  </si>
  <si>
    <t>2VR + 5X2VP</t>
  </si>
  <si>
    <t>2VR + 6X2VP</t>
  </si>
  <si>
    <t>2VR+4VP</t>
  </si>
  <si>
    <t>2VR+2X8VP</t>
  </si>
  <si>
    <t>2VR+2X6VP</t>
  </si>
  <si>
    <t xml:space="preserve">2VR + </t>
  </si>
  <si>
    <t>ANC FAB</t>
  </si>
  <si>
    <t>PANNE</t>
  </si>
  <si>
    <t>LBFI</t>
  </si>
  <si>
    <t>CDE ANNULEE</t>
  </si>
  <si>
    <t>RCDE MATIERE</t>
  </si>
  <si>
    <t>RCDE MATIERE CLIENT</t>
  </si>
  <si>
    <t>REIMPRESSION CAM 4/9/25</t>
  </si>
  <si>
    <t>NON QUALITE IMP</t>
  </si>
  <si>
    <t>INFO</t>
  </si>
  <si>
    <t>PB MATIERE GERFLOR</t>
  </si>
  <si>
    <t>ATTENTE CLIENT</t>
  </si>
  <si>
    <t>PB QUALITE PELLICULAGE 9/10</t>
  </si>
  <si>
    <t>STOP MOULE AFFUTAGE</t>
  </si>
  <si>
    <t>REIMP DE 27/11</t>
  </si>
  <si>
    <t>CC COLLAGE LILLE</t>
  </si>
  <si>
    <t>RETIRAGE ETIQ</t>
  </si>
  <si>
    <t>PANNE PELLICULEUSE SOUS TRAITANCE COPMLEXE</t>
  </si>
  <si>
    <t>SOUS TRAITANCE PELL COMPLEXE</t>
  </si>
  <si>
    <t>RETARD BROCHURE CLIENT + COURAND</t>
  </si>
  <si>
    <t>X</t>
  </si>
  <si>
    <t>DATE PAPIER 380 GR</t>
  </si>
  <si>
    <t>JEUX ECH HPL</t>
  </si>
  <si>
    <t>MARINE</t>
  </si>
  <si>
    <t>ACHATS/REVENTE 2025</t>
  </si>
  <si>
    <t>NON QUALITE CONTRE COLLAGE LILLE</t>
  </si>
  <si>
    <t>NUANCIER LINO MATERIALE</t>
  </si>
  <si>
    <t>SOPROFEN</t>
  </si>
  <si>
    <t>LIASSES TISSUS</t>
  </si>
  <si>
    <t>LIASSES</t>
  </si>
  <si>
    <t>NUANCIERS CREATION 55/70 LOOSELAY</t>
  </si>
  <si>
    <t>NUANCIER STRATFLOOR ULTIMATE 30</t>
  </si>
  <si>
    <t>NUANCIER STRATFLOOR ULTIMATE 55</t>
  </si>
  <si>
    <t>DELZONGLE MP</t>
  </si>
  <si>
    <t>PROGRAMME I PERFORM &amp; PIONNER</t>
  </si>
  <si>
    <t>LIASSES DECORALIA</t>
  </si>
  <si>
    <t>NUANCIERS ID INSPIRATION</t>
  </si>
  <si>
    <t>SOLDIS</t>
  </si>
  <si>
    <t>NUANCIER SPC 40/ SPC55</t>
  </si>
  <si>
    <t>NUANCIERS CREATION SAGA GB</t>
  </si>
  <si>
    <t>SOPREMA IBERIA</t>
  </si>
  <si>
    <t>LIASSES MINERAI SAMPLE BOOK</t>
  </si>
  <si>
    <t>CARTES SATINE 5500</t>
  </si>
  <si>
    <t>MASTIC GRIS REF 147610</t>
  </si>
  <si>
    <t>QOVANS</t>
  </si>
  <si>
    <t>NUANCIERS LINEANCE &amp; PORTES</t>
  </si>
  <si>
    <t>CDE N°4500630401 REF. 147610</t>
  </si>
  <si>
    <t>NUANCIERS INTOO</t>
  </si>
  <si>
    <t>NUANCIERS MSB / COUBLANC</t>
  </si>
  <si>
    <t>SOLUTINOX</t>
  </si>
  <si>
    <t>PROBLEME IMPRESSION</t>
  </si>
  <si>
    <t>OUBLI TIRAGE LILLE</t>
  </si>
  <si>
    <t>PB QTE INTER JB MANQUE</t>
  </si>
  <si>
    <t>SELECTEURS ART HOME ALU</t>
  </si>
  <si>
    <t>LIASSES WINTER</t>
  </si>
  <si>
    <t>DEVIS</t>
  </si>
  <si>
    <t>NUANCIERS CREATION 55 &amp; 70 LOOSELAY</t>
  </si>
  <si>
    <t>REMIS</t>
  </si>
  <si>
    <t>NUANCIERS SHADOW 3000</t>
  </si>
  <si>
    <t>STOCK MARINE</t>
  </si>
  <si>
    <t>CREA ISABELLE</t>
  </si>
  <si>
    <t>DATE DE LIVRAISON INITIALE</t>
  </si>
  <si>
    <t>DATE DE LA DERNIERE LIVRAISON</t>
  </si>
  <si>
    <t>Délai total: Ouverture / Première livraison</t>
  </si>
  <si>
    <t>Ecart délai initial et réel</t>
  </si>
  <si>
    <t>Délai total tirages et achats: Ouverture / Départ en prod tirages et achats</t>
  </si>
  <si>
    <t>Délai total matière: Ouverture / Départ en prod matière</t>
  </si>
  <si>
    <t>DATE DE LIVRAISON REELLE</t>
  </si>
  <si>
    <t>Délai réception matière: Appel matière / Complet matière</t>
  </si>
  <si>
    <t>Délai commande matière: Ouverture / Appel matière</t>
  </si>
  <si>
    <t>Délai Papier :Ouverture / Réception papier</t>
  </si>
  <si>
    <t>Délai Fichier :Ouverture / fichier définitif</t>
  </si>
  <si>
    <t>Délai Modèle client : Ouverture / Validation modèle client</t>
  </si>
  <si>
    <t>Délai Impression : MAX(fichier/modele) / Impression</t>
  </si>
  <si>
    <t>Délai total Impression : Ouverture / Impression</t>
  </si>
  <si>
    <t>Délai Impression / Départ en prod tirages et achats</t>
  </si>
  <si>
    <t>Délai Carton :Ouverture / Réception carton</t>
  </si>
  <si>
    <t>Délai départ matière: Complet matière / Départ en prod matière</t>
  </si>
  <si>
    <t>Délai entre départ matière/ départ impression &amp; achats</t>
  </si>
  <si>
    <t>Délai marine: Premier envoi / Première livraison</t>
  </si>
  <si>
    <t>Délai marine: Première livraison/ Dernière livraison</t>
  </si>
  <si>
    <t>ecart</t>
  </si>
  <si>
    <t>NUANCIERS LIGHT ART</t>
  </si>
  <si>
    <t>NUANCIER</t>
  </si>
  <si>
    <t>RECOMANDE MATIERE</t>
  </si>
  <si>
    <t>COLLECTION PP HABITAT 2028</t>
  </si>
  <si>
    <t>RECOMMANDE MATIERE</t>
  </si>
  <si>
    <t>NUANCIER TARALAY PREMIUM</t>
  </si>
  <si>
    <t>NUANCIERS IRTEC 319/419</t>
  </si>
  <si>
    <t>NUANCIERS MASQ</t>
  </si>
  <si>
    <t>CARTE SATINE 21154 FR</t>
  </si>
  <si>
    <t>CDE 450063527 - 147610</t>
  </si>
  <si>
    <t>NUANCIERS CLASSICS</t>
  </si>
  <si>
    <t>NUANCIERS NATURALS</t>
  </si>
  <si>
    <t>COLLECTION PP HABITAT PREMIUM 2</t>
  </si>
  <si>
    <t>NUANCIERS SOLISO</t>
  </si>
  <si>
    <t>PB QTE IMPRESSION</t>
  </si>
  <si>
    <t>NUANCIERS ID LOOSELAY</t>
  </si>
  <si>
    <t>JELD WEN</t>
  </si>
  <si>
    <t>NUANCIERS SELECTIONS 2026</t>
  </si>
  <si>
    <t>PUBLISCREEN</t>
  </si>
  <si>
    <t>BOITES ISOCEL</t>
  </si>
  <si>
    <t>EMPREINTE CONSEIL</t>
  </si>
  <si>
    <t>MANCHONS DUO PROTECT</t>
  </si>
  <si>
    <t>RESOPAL / POLYREY</t>
  </si>
  <si>
    <t>CARTES</t>
  </si>
  <si>
    <t>NUANCIERS TX CLASSIC 2VR</t>
  </si>
  <si>
    <t>NUANCIERS WOOD'N CLICK</t>
  </si>
  <si>
    <t>RIMAY</t>
  </si>
  <si>
    <t>LOT BOITE + COUVERTURE + CLASSEUR</t>
  </si>
  <si>
    <t>NUANCIERS PILOTE</t>
  </si>
  <si>
    <t>LIASSES HYDRO</t>
  </si>
  <si>
    <t>ARBA</t>
  </si>
  <si>
    <t>NUANCIERS FENIX</t>
  </si>
  <si>
    <t>NUANCIERS CREATION 70</t>
  </si>
  <si>
    <t>NUANCIERS ID CONFORT ACOUSTIC FR</t>
  </si>
  <si>
    <t>SET 2 BOITES</t>
  </si>
  <si>
    <t>DESARCHIVAGE</t>
  </si>
  <si>
    <t>LIASSES MURAL CALYPSO</t>
  </si>
  <si>
    <t>PROGRAMME TOILE DE VERRE</t>
  </si>
  <si>
    <t>ID CLASSIC NORDIC + ID NATURAL NORDIC</t>
  </si>
  <si>
    <t>NUANCIERS VOYAGER</t>
  </si>
  <si>
    <t>NUANCIERS DAY DREAM</t>
  </si>
  <si>
    <t>CARTES SYSTÈME TARADOUCHE</t>
  </si>
  <si>
    <t>NUANCIERS GODFREYHIRST</t>
  </si>
  <si>
    <t>LIASSES INPIREO 8MM</t>
  </si>
  <si>
    <t>COMPTOIR DE L'OURS - HBF</t>
  </si>
  <si>
    <t>CGT ALKOR</t>
  </si>
  <si>
    <t>PROGRAMME LIASSE</t>
  </si>
  <si>
    <t>DEPLIANT  A REFAIRE MALFACON</t>
  </si>
  <si>
    <t>TARKETT NL</t>
  </si>
  <si>
    <t>NUANCIERS ESSENCE ROOTS</t>
  </si>
  <si>
    <t>BERRY ALLOC</t>
  </si>
  <si>
    <t>NUANCIER MODUTEK</t>
  </si>
  <si>
    <t>NUANCIER IQ MEGALIT</t>
  </si>
  <si>
    <t>DATE DEVIS</t>
  </si>
  <si>
    <t/>
  </si>
  <si>
    <t>Délai total: Devis / Dernière livraison</t>
  </si>
  <si>
    <t>Délai: Ouverture / Dernière livraison</t>
  </si>
  <si>
    <t>Délai ouverture: Devis / Ouverture de dossier</t>
  </si>
  <si>
    <t>PRIX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</si>
</sst>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166" fontId="3" fillId="3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%20-%20KPI/Query_tableau_devis.xlsx" TargetMode="External"/><Relationship Id="rId2" Type="http://schemas.openxmlformats.org/officeDocument/2006/relationships/externalLinkPath" Target="https://ponceblanc.sharepoint.com/Documents%20partages/Administratif/PROJET/2%20-%20KPI/Query_tableau_devis.xlsx" TargetMode="External"/><Relationship Id="rId1" Type="http://schemas.openxmlformats.org/officeDocument/2006/relationships/externalLinkPath" Target="/Documents%20partages/Administratif/PROJET/2%20-%20KPI/Query_tableau_dev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NCEBLANC"/>
      <sheetName val="LBFI"/>
      <sheetName val="pour mail auto refus"/>
      <sheetName val="Feuil1"/>
    </sheetNames>
    <sheetDataSet>
      <sheetData sheetId="0">
        <row r="1">
          <cell r="J1" t="str">
            <v>Prix total</v>
          </cell>
          <cell r="Q1" t="str">
            <v>n°Fab</v>
          </cell>
        </row>
        <row r="2">
          <cell r="J2">
            <v>12600</v>
          </cell>
        </row>
        <row r="3">
          <cell r="J3">
            <v>12600</v>
          </cell>
        </row>
        <row r="4">
          <cell r="J4">
            <v>8250</v>
          </cell>
        </row>
        <row r="5">
          <cell r="J5">
            <v>14384</v>
          </cell>
        </row>
        <row r="6">
          <cell r="J6">
            <v>13799.999999999998</v>
          </cell>
        </row>
        <row r="7">
          <cell r="J7">
            <v>24600</v>
          </cell>
        </row>
        <row r="8">
          <cell r="J8">
            <v>3720.0000000000009</v>
          </cell>
        </row>
        <row r="9">
          <cell r="J9">
            <v>3540</v>
          </cell>
        </row>
        <row r="10">
          <cell r="J10">
            <v>16920</v>
          </cell>
        </row>
        <row r="11">
          <cell r="J11">
            <v>24750</v>
          </cell>
        </row>
        <row r="12">
          <cell r="J12">
            <v>27450</v>
          </cell>
        </row>
        <row r="13">
          <cell r="J13">
            <v>13050</v>
          </cell>
        </row>
        <row r="14">
          <cell r="J14">
            <v>10800</v>
          </cell>
        </row>
        <row r="15">
          <cell r="J15">
            <v>11660</v>
          </cell>
        </row>
        <row r="16">
          <cell r="J16">
            <v>11000</v>
          </cell>
        </row>
        <row r="17">
          <cell r="J17">
            <v>7675</v>
          </cell>
        </row>
        <row r="18">
          <cell r="J18">
            <v>9464</v>
          </cell>
          <cell r="Q18">
            <v>23050</v>
          </cell>
        </row>
        <row r="19">
          <cell r="J19">
            <v>23400</v>
          </cell>
          <cell r="Q19">
            <v>23016</v>
          </cell>
        </row>
        <row r="20">
          <cell r="J20">
            <v>29700</v>
          </cell>
        </row>
        <row r="21">
          <cell r="J21">
            <v>20400</v>
          </cell>
        </row>
        <row r="22">
          <cell r="J22">
            <v>7800</v>
          </cell>
        </row>
        <row r="23">
          <cell r="J23">
            <v>4071</v>
          </cell>
          <cell r="Q23">
            <v>23056</v>
          </cell>
        </row>
        <row r="24">
          <cell r="J24">
            <v>20000</v>
          </cell>
          <cell r="Q24">
            <v>23028</v>
          </cell>
        </row>
        <row r="25">
          <cell r="J25">
            <v>4816</v>
          </cell>
        </row>
        <row r="26">
          <cell r="J26">
            <v>11840</v>
          </cell>
        </row>
        <row r="27">
          <cell r="J27">
            <v>1797</v>
          </cell>
        </row>
        <row r="28">
          <cell r="J28">
            <v>34875</v>
          </cell>
        </row>
        <row r="29">
          <cell r="J29">
            <v>5725</v>
          </cell>
        </row>
        <row r="30">
          <cell r="J30">
            <v>30250</v>
          </cell>
          <cell r="Q30">
            <v>23188</v>
          </cell>
        </row>
        <row r="31">
          <cell r="J31">
            <v>7278.9999999999982</v>
          </cell>
        </row>
        <row r="32">
          <cell r="J32">
            <v>13740</v>
          </cell>
        </row>
        <row r="33">
          <cell r="J33">
            <v>6000</v>
          </cell>
        </row>
        <row r="34">
          <cell r="J34">
            <v>4080</v>
          </cell>
        </row>
        <row r="35">
          <cell r="J35">
            <v>19440</v>
          </cell>
          <cell r="Q35">
            <v>23057</v>
          </cell>
        </row>
        <row r="36">
          <cell r="J36">
            <v>3465</v>
          </cell>
          <cell r="Q36">
            <v>23023</v>
          </cell>
        </row>
        <row r="37">
          <cell r="J37">
            <v>4665</v>
          </cell>
          <cell r="Q37">
            <v>23025</v>
          </cell>
        </row>
        <row r="38">
          <cell r="J38">
            <v>27600</v>
          </cell>
        </row>
        <row r="39">
          <cell r="J39">
            <v>3900</v>
          </cell>
          <cell r="Q39">
            <v>23124</v>
          </cell>
        </row>
        <row r="40">
          <cell r="J40">
            <v>2900</v>
          </cell>
          <cell r="Q40">
            <v>23124</v>
          </cell>
        </row>
        <row r="41">
          <cell r="J41">
            <v>49350</v>
          </cell>
        </row>
        <row r="42">
          <cell r="J42">
            <v>38400</v>
          </cell>
        </row>
        <row r="43">
          <cell r="J43">
            <v>4800</v>
          </cell>
        </row>
        <row r="44">
          <cell r="J44">
            <v>27280</v>
          </cell>
        </row>
        <row r="45">
          <cell r="J45">
            <v>30800</v>
          </cell>
          <cell r="Q45">
            <v>23101</v>
          </cell>
        </row>
        <row r="46">
          <cell r="J46">
            <v>3400</v>
          </cell>
        </row>
        <row r="47">
          <cell r="J47">
            <v>13725</v>
          </cell>
          <cell r="Q47">
            <v>23058</v>
          </cell>
        </row>
        <row r="48">
          <cell r="J48">
            <v>14280</v>
          </cell>
        </row>
        <row r="49">
          <cell r="J49">
            <v>5800</v>
          </cell>
        </row>
        <row r="50">
          <cell r="J50">
            <v>12840</v>
          </cell>
        </row>
        <row r="51">
          <cell r="J51">
            <v>170870</v>
          </cell>
        </row>
        <row r="52">
          <cell r="J52">
            <v>11264</v>
          </cell>
        </row>
        <row r="53">
          <cell r="J53">
            <v>6880</v>
          </cell>
        </row>
        <row r="54">
          <cell r="J54">
            <v>10800</v>
          </cell>
        </row>
        <row r="55">
          <cell r="J55">
            <v>15360</v>
          </cell>
          <cell r="Q55">
            <v>23081</v>
          </cell>
        </row>
        <row r="56">
          <cell r="J56">
            <v>13950.000000000002</v>
          </cell>
        </row>
        <row r="57">
          <cell r="J57">
            <v>69600</v>
          </cell>
        </row>
        <row r="58">
          <cell r="J58">
            <v>76500</v>
          </cell>
        </row>
        <row r="59">
          <cell r="J59">
            <v>169200</v>
          </cell>
        </row>
        <row r="60">
          <cell r="J60">
            <v>26700</v>
          </cell>
        </row>
        <row r="61">
          <cell r="J61">
            <v>13045</v>
          </cell>
          <cell r="Q61">
            <v>23027</v>
          </cell>
        </row>
        <row r="62">
          <cell r="J62">
            <v>9900</v>
          </cell>
        </row>
        <row r="63">
          <cell r="J63">
            <v>16650</v>
          </cell>
          <cell r="Q63">
            <v>23079</v>
          </cell>
        </row>
        <row r="64">
          <cell r="J64">
            <v>53520</v>
          </cell>
        </row>
        <row r="65">
          <cell r="J65">
            <v>11795.000000000002</v>
          </cell>
        </row>
        <row r="66">
          <cell r="J66">
            <v>9300</v>
          </cell>
        </row>
        <row r="67">
          <cell r="J67">
            <v>2664</v>
          </cell>
        </row>
        <row r="68">
          <cell r="J68">
            <v>2502</v>
          </cell>
        </row>
        <row r="69">
          <cell r="J69">
            <v>2448</v>
          </cell>
        </row>
        <row r="70">
          <cell r="J70">
            <v>5325</v>
          </cell>
          <cell r="Q70">
            <v>23035</v>
          </cell>
        </row>
        <row r="71">
          <cell r="J71">
            <v>19500</v>
          </cell>
          <cell r="Q71">
            <v>23031</v>
          </cell>
        </row>
        <row r="72">
          <cell r="J72">
            <v>6900</v>
          </cell>
        </row>
        <row r="73">
          <cell r="J73">
            <v>15150</v>
          </cell>
          <cell r="Q73">
            <v>23060</v>
          </cell>
        </row>
        <row r="74">
          <cell r="J74">
            <v>5450</v>
          </cell>
          <cell r="Q74">
            <v>23066</v>
          </cell>
        </row>
        <row r="75">
          <cell r="J75">
            <v>32000</v>
          </cell>
          <cell r="Q75">
            <v>23038</v>
          </cell>
        </row>
        <row r="76">
          <cell r="J76">
            <v>16980</v>
          </cell>
        </row>
        <row r="77">
          <cell r="J77">
            <v>39600</v>
          </cell>
          <cell r="Q77">
            <v>23032</v>
          </cell>
        </row>
        <row r="78">
          <cell r="J78">
            <v>19170</v>
          </cell>
        </row>
        <row r="79">
          <cell r="J79">
            <v>115762.5</v>
          </cell>
          <cell r="Q79">
            <v>23073</v>
          </cell>
        </row>
        <row r="80">
          <cell r="J80">
            <v>4470</v>
          </cell>
        </row>
        <row r="81">
          <cell r="J81">
            <v>39400</v>
          </cell>
        </row>
        <row r="82">
          <cell r="J82">
            <v>3990</v>
          </cell>
        </row>
        <row r="83">
          <cell r="J83">
            <v>9169.92</v>
          </cell>
          <cell r="Q83">
            <v>23041</v>
          </cell>
        </row>
        <row r="84">
          <cell r="J84">
            <v>10046.4</v>
          </cell>
          <cell r="Q84">
            <v>23042</v>
          </cell>
        </row>
        <row r="85">
          <cell r="J85">
            <v>5466.5599999999995</v>
          </cell>
          <cell r="Q85">
            <v>23043</v>
          </cell>
        </row>
        <row r="86">
          <cell r="J86">
            <v>4513.32</v>
          </cell>
        </row>
        <row r="87">
          <cell r="J87">
            <v>8070.4</v>
          </cell>
        </row>
        <row r="88">
          <cell r="J88">
            <v>36000</v>
          </cell>
          <cell r="Q88">
            <v>23106</v>
          </cell>
        </row>
        <row r="89">
          <cell r="J89">
            <v>5138.9000000000005</v>
          </cell>
          <cell r="Q89">
            <v>23105</v>
          </cell>
        </row>
        <row r="90">
          <cell r="J90">
            <v>3610</v>
          </cell>
        </row>
        <row r="91">
          <cell r="J91">
            <v>6675</v>
          </cell>
        </row>
        <row r="92">
          <cell r="J92">
            <v>880</v>
          </cell>
        </row>
        <row r="93">
          <cell r="J93">
            <v>0</v>
          </cell>
        </row>
        <row r="94">
          <cell r="J94">
            <v>10100</v>
          </cell>
        </row>
        <row r="95">
          <cell r="J95">
            <v>7455</v>
          </cell>
        </row>
        <row r="96">
          <cell r="J96">
            <v>13020</v>
          </cell>
        </row>
        <row r="97">
          <cell r="J97">
            <v>7110</v>
          </cell>
        </row>
        <row r="98">
          <cell r="J98">
            <v>51500</v>
          </cell>
        </row>
        <row r="99">
          <cell r="J99">
            <v>87400</v>
          </cell>
        </row>
        <row r="100">
          <cell r="J100">
            <v>116000</v>
          </cell>
        </row>
        <row r="101">
          <cell r="J101">
            <v>55199.999999999993</v>
          </cell>
        </row>
        <row r="102">
          <cell r="J102">
            <v>3900</v>
          </cell>
        </row>
        <row r="103">
          <cell r="J103">
            <v>16725</v>
          </cell>
          <cell r="Q103">
            <v>23046</v>
          </cell>
        </row>
        <row r="104">
          <cell r="J104">
            <v>22950</v>
          </cell>
        </row>
        <row r="105">
          <cell r="J105">
            <v>10860</v>
          </cell>
        </row>
        <row r="106">
          <cell r="J106">
            <v>12270</v>
          </cell>
        </row>
        <row r="107">
          <cell r="J107">
            <v>8160.0000000000018</v>
          </cell>
        </row>
        <row r="108">
          <cell r="J108">
            <v>12450.000000000002</v>
          </cell>
        </row>
        <row r="109">
          <cell r="J109">
            <v>10140</v>
          </cell>
        </row>
        <row r="110">
          <cell r="J110">
            <v>9270</v>
          </cell>
        </row>
        <row r="111">
          <cell r="J111">
            <v>29400.000000000004</v>
          </cell>
        </row>
        <row r="112">
          <cell r="J112">
            <v>5640</v>
          </cell>
        </row>
        <row r="113">
          <cell r="J113">
            <v>13400</v>
          </cell>
        </row>
        <row r="114">
          <cell r="J114">
            <v>69600</v>
          </cell>
        </row>
        <row r="115">
          <cell r="J115">
            <v>79000</v>
          </cell>
          <cell r="Q115">
            <v>23164</v>
          </cell>
        </row>
        <row r="116">
          <cell r="J116">
            <v>22400</v>
          </cell>
          <cell r="Q116">
            <v>23162</v>
          </cell>
        </row>
        <row r="117">
          <cell r="J117">
            <v>11800</v>
          </cell>
        </row>
        <row r="118">
          <cell r="J118">
            <v>16000</v>
          </cell>
          <cell r="Q118">
            <v>23163</v>
          </cell>
        </row>
        <row r="119">
          <cell r="J119">
            <v>9660</v>
          </cell>
        </row>
        <row r="120">
          <cell r="J120">
            <v>9860</v>
          </cell>
        </row>
        <row r="121">
          <cell r="J121">
            <v>59150</v>
          </cell>
        </row>
        <row r="122">
          <cell r="J122">
            <v>30996</v>
          </cell>
        </row>
        <row r="123">
          <cell r="J123">
            <v>12975</v>
          </cell>
        </row>
        <row r="124">
          <cell r="J124">
            <v>4620</v>
          </cell>
        </row>
        <row r="125">
          <cell r="J125">
            <v>6440.0000000000009</v>
          </cell>
        </row>
        <row r="126">
          <cell r="J126">
            <v>2636.9999999999995</v>
          </cell>
        </row>
        <row r="127">
          <cell r="J127">
            <v>64158</v>
          </cell>
          <cell r="Q127">
            <v>23083</v>
          </cell>
        </row>
        <row r="128">
          <cell r="J128">
            <v>40400</v>
          </cell>
        </row>
        <row r="129">
          <cell r="J129">
            <v>7250</v>
          </cell>
        </row>
        <row r="130">
          <cell r="J130">
            <v>40200</v>
          </cell>
        </row>
        <row r="131">
          <cell r="J131">
            <v>8880</v>
          </cell>
          <cell r="Q131">
            <v>23062</v>
          </cell>
        </row>
        <row r="132">
          <cell r="J132">
            <v>16550</v>
          </cell>
        </row>
        <row r="133">
          <cell r="J133">
            <v>80500</v>
          </cell>
          <cell r="Q133">
            <v>23116</v>
          </cell>
        </row>
        <row r="134">
          <cell r="J134">
            <v>7008</v>
          </cell>
        </row>
        <row r="135">
          <cell r="J135">
            <v>58380.000000000007</v>
          </cell>
          <cell r="Q135">
            <v>23067</v>
          </cell>
        </row>
        <row r="136">
          <cell r="J136">
            <v>25069</v>
          </cell>
          <cell r="Q136">
            <v>23055</v>
          </cell>
        </row>
        <row r="137">
          <cell r="J137">
            <v>30623.999999999996</v>
          </cell>
          <cell r="Q137">
            <v>23054</v>
          </cell>
        </row>
        <row r="138">
          <cell r="J138">
            <v>9220</v>
          </cell>
          <cell r="Q138">
            <v>23053</v>
          </cell>
        </row>
        <row r="139">
          <cell r="J139">
            <v>7420</v>
          </cell>
          <cell r="Q139">
            <v>23061</v>
          </cell>
        </row>
        <row r="140">
          <cell r="J140">
            <v>16800</v>
          </cell>
          <cell r="Q140">
            <v>23202</v>
          </cell>
        </row>
        <row r="141">
          <cell r="J141">
            <v>59500</v>
          </cell>
          <cell r="Q141">
            <v>23063</v>
          </cell>
        </row>
        <row r="142">
          <cell r="J142">
            <v>8645</v>
          </cell>
          <cell r="Q142">
            <v>23068</v>
          </cell>
        </row>
        <row r="143">
          <cell r="J143">
            <v>6532.5000000000009</v>
          </cell>
          <cell r="Q143">
            <v>23068</v>
          </cell>
        </row>
        <row r="144">
          <cell r="J144">
            <v>3900</v>
          </cell>
        </row>
        <row r="145">
          <cell r="J145">
            <v>5712</v>
          </cell>
          <cell r="Q145">
            <v>23076</v>
          </cell>
        </row>
        <row r="146">
          <cell r="J146">
            <v>1940</v>
          </cell>
        </row>
        <row r="147">
          <cell r="J147">
            <v>9550</v>
          </cell>
        </row>
        <row r="148">
          <cell r="J148">
            <v>28680</v>
          </cell>
        </row>
        <row r="149">
          <cell r="J149">
            <v>20200</v>
          </cell>
        </row>
        <row r="150">
          <cell r="J150">
            <v>10200</v>
          </cell>
        </row>
        <row r="151">
          <cell r="J151">
            <v>6500</v>
          </cell>
        </row>
        <row r="152">
          <cell r="J152">
            <v>51250</v>
          </cell>
        </row>
        <row r="153">
          <cell r="J153">
            <v>900</v>
          </cell>
        </row>
        <row r="154">
          <cell r="J154">
            <v>327690</v>
          </cell>
        </row>
        <row r="155">
          <cell r="J155">
            <v>522199.99999999994</v>
          </cell>
        </row>
        <row r="156">
          <cell r="J156">
            <v>220500</v>
          </cell>
        </row>
        <row r="157">
          <cell r="J157">
            <v>4902</v>
          </cell>
          <cell r="Q157">
            <v>23059</v>
          </cell>
        </row>
        <row r="158">
          <cell r="J158">
            <v>2744</v>
          </cell>
          <cell r="Q158">
            <v>23070</v>
          </cell>
        </row>
        <row r="159">
          <cell r="J159">
            <v>60000</v>
          </cell>
        </row>
        <row r="160">
          <cell r="J160">
            <v>29000</v>
          </cell>
          <cell r="Q160">
            <v>23075</v>
          </cell>
        </row>
        <row r="161">
          <cell r="J161">
            <v>3590</v>
          </cell>
        </row>
        <row r="162">
          <cell r="J162">
            <v>15900</v>
          </cell>
        </row>
        <row r="163">
          <cell r="J163">
            <v>7759.9999999999982</v>
          </cell>
        </row>
        <row r="164">
          <cell r="J164">
            <v>24150</v>
          </cell>
        </row>
        <row r="165">
          <cell r="J165">
            <v>11900</v>
          </cell>
        </row>
        <row r="166">
          <cell r="J166">
            <v>13550</v>
          </cell>
        </row>
        <row r="167">
          <cell r="J167">
            <v>4524</v>
          </cell>
          <cell r="Q167">
            <v>23077</v>
          </cell>
        </row>
        <row r="168">
          <cell r="J168">
            <v>4680</v>
          </cell>
        </row>
        <row r="169">
          <cell r="J169">
            <v>15850</v>
          </cell>
        </row>
        <row r="170">
          <cell r="J170">
            <v>5700</v>
          </cell>
        </row>
        <row r="171">
          <cell r="J171">
            <v>14500</v>
          </cell>
        </row>
        <row r="172">
          <cell r="J172">
            <v>8350</v>
          </cell>
        </row>
        <row r="173">
          <cell r="J173">
            <v>4625</v>
          </cell>
        </row>
        <row r="174">
          <cell r="J174">
            <v>7995</v>
          </cell>
          <cell r="Q174">
            <v>23119</v>
          </cell>
        </row>
        <row r="175">
          <cell r="J175">
            <v>6139.2</v>
          </cell>
        </row>
        <row r="176">
          <cell r="J176">
            <v>7373.9999999999982</v>
          </cell>
        </row>
        <row r="177">
          <cell r="J177">
            <v>10793.999999999998</v>
          </cell>
        </row>
        <row r="178">
          <cell r="J178">
            <v>8925</v>
          </cell>
          <cell r="Q178">
            <v>23074</v>
          </cell>
        </row>
        <row r="179">
          <cell r="J179">
            <v>5120</v>
          </cell>
        </row>
        <row r="180">
          <cell r="J180">
            <v>21200</v>
          </cell>
        </row>
        <row r="181">
          <cell r="J181">
            <v>8557.5</v>
          </cell>
        </row>
        <row r="182">
          <cell r="J182">
            <v>10828.3</v>
          </cell>
        </row>
        <row r="183">
          <cell r="J183">
            <v>38745</v>
          </cell>
          <cell r="Q183">
            <v>23072</v>
          </cell>
        </row>
        <row r="184">
          <cell r="J184">
            <v>11574</v>
          </cell>
        </row>
        <row r="185">
          <cell r="J185">
            <v>6125</v>
          </cell>
          <cell r="Q185">
            <v>23114</v>
          </cell>
        </row>
        <row r="186">
          <cell r="J186">
            <v>4110</v>
          </cell>
        </row>
        <row r="187">
          <cell r="J187">
            <v>25000</v>
          </cell>
        </row>
        <row r="188">
          <cell r="J188">
            <v>12200</v>
          </cell>
          <cell r="Q188">
            <v>23137</v>
          </cell>
        </row>
        <row r="189">
          <cell r="J189">
            <v>1395</v>
          </cell>
        </row>
        <row r="190">
          <cell r="J190">
            <v>5145</v>
          </cell>
        </row>
        <row r="191">
          <cell r="J191">
            <v>55650</v>
          </cell>
          <cell r="Q191">
            <v>23082</v>
          </cell>
        </row>
        <row r="192">
          <cell r="J192">
            <v>13650</v>
          </cell>
        </row>
        <row r="193">
          <cell r="J193">
            <v>4650</v>
          </cell>
          <cell r="Q193">
            <v>23086</v>
          </cell>
        </row>
        <row r="194">
          <cell r="J194">
            <v>0</v>
          </cell>
        </row>
        <row r="195">
          <cell r="J195">
            <v>26250</v>
          </cell>
        </row>
        <row r="196">
          <cell r="J196">
            <v>6270</v>
          </cell>
        </row>
        <row r="197">
          <cell r="J197">
            <v>2890</v>
          </cell>
        </row>
        <row r="198">
          <cell r="J198">
            <v>0</v>
          </cell>
        </row>
        <row r="199">
          <cell r="J199">
            <v>9720</v>
          </cell>
        </row>
        <row r="200">
          <cell r="J200">
            <v>8120</v>
          </cell>
          <cell r="Q200">
            <v>23108</v>
          </cell>
        </row>
        <row r="201">
          <cell r="J201">
            <v>14549.999999999998</v>
          </cell>
          <cell r="Q201">
            <v>23094</v>
          </cell>
        </row>
        <row r="202">
          <cell r="J202">
            <v>25952</v>
          </cell>
        </row>
        <row r="203">
          <cell r="J203">
            <v>3409</v>
          </cell>
        </row>
        <row r="204">
          <cell r="J204">
            <v>4440</v>
          </cell>
          <cell r="Q204">
            <v>23087</v>
          </cell>
        </row>
        <row r="205">
          <cell r="J205">
            <v>4900</v>
          </cell>
          <cell r="Q205">
            <v>23087</v>
          </cell>
        </row>
        <row r="206">
          <cell r="J206">
            <v>15600</v>
          </cell>
        </row>
        <row r="207">
          <cell r="J207">
            <v>14400</v>
          </cell>
        </row>
        <row r="208">
          <cell r="J208">
            <v>60450.000000000007</v>
          </cell>
        </row>
        <row r="209">
          <cell r="J209">
            <v>36200</v>
          </cell>
        </row>
        <row r="210">
          <cell r="J210">
            <v>36200</v>
          </cell>
        </row>
        <row r="211">
          <cell r="J211">
            <v>115500</v>
          </cell>
        </row>
        <row r="212">
          <cell r="J212">
            <v>11052.000000000002</v>
          </cell>
        </row>
        <row r="213">
          <cell r="J213">
            <v>1365</v>
          </cell>
          <cell r="Q213">
            <v>23090</v>
          </cell>
        </row>
        <row r="214">
          <cell r="J214">
            <v>4460</v>
          </cell>
        </row>
        <row r="215">
          <cell r="J215">
            <v>25200</v>
          </cell>
          <cell r="Q215">
            <v>23089</v>
          </cell>
        </row>
        <row r="216">
          <cell r="J216">
            <v>246000</v>
          </cell>
        </row>
        <row r="217">
          <cell r="J217">
            <v>23750</v>
          </cell>
          <cell r="Q217">
            <v>23238</v>
          </cell>
        </row>
        <row r="218">
          <cell r="J218">
            <v>8700</v>
          </cell>
        </row>
        <row r="219">
          <cell r="J219">
            <v>462978</v>
          </cell>
        </row>
        <row r="220">
          <cell r="J220">
            <v>49900</v>
          </cell>
          <cell r="Q220">
            <v>23093</v>
          </cell>
        </row>
        <row r="221">
          <cell r="J221">
            <v>103500</v>
          </cell>
        </row>
        <row r="222">
          <cell r="J222">
            <v>45420</v>
          </cell>
          <cell r="Q222">
            <v>23094</v>
          </cell>
        </row>
        <row r="223">
          <cell r="J223">
            <v>24100</v>
          </cell>
          <cell r="Q223">
            <v>23095</v>
          </cell>
        </row>
        <row r="224">
          <cell r="J224">
            <v>25320</v>
          </cell>
          <cell r="Q224">
            <v>23088</v>
          </cell>
        </row>
        <row r="225">
          <cell r="J225">
            <v>5650</v>
          </cell>
        </row>
        <row r="226">
          <cell r="J226">
            <v>11997.3</v>
          </cell>
        </row>
        <row r="227">
          <cell r="J227">
            <v>11500</v>
          </cell>
        </row>
        <row r="228">
          <cell r="J228">
            <v>13350</v>
          </cell>
        </row>
        <row r="229">
          <cell r="J229">
            <v>2380</v>
          </cell>
        </row>
        <row r="230">
          <cell r="J230">
            <v>7500</v>
          </cell>
        </row>
        <row r="231">
          <cell r="J231">
            <v>20940</v>
          </cell>
        </row>
        <row r="232">
          <cell r="J232">
            <v>5250</v>
          </cell>
        </row>
        <row r="233">
          <cell r="J233">
            <v>12580</v>
          </cell>
          <cell r="Q233">
            <v>23112</v>
          </cell>
        </row>
        <row r="234">
          <cell r="J234">
            <v>15520</v>
          </cell>
        </row>
        <row r="235">
          <cell r="J235">
            <v>33429</v>
          </cell>
        </row>
        <row r="236">
          <cell r="J236">
            <v>5382</v>
          </cell>
        </row>
        <row r="237">
          <cell r="J237">
            <v>53363</v>
          </cell>
        </row>
        <row r="238">
          <cell r="J238">
            <v>7379.9999999999982</v>
          </cell>
        </row>
        <row r="239">
          <cell r="J239">
            <v>4752</v>
          </cell>
        </row>
        <row r="240">
          <cell r="J240">
            <v>11492</v>
          </cell>
        </row>
        <row r="241">
          <cell r="J241">
            <v>5712.0000000000009</v>
          </cell>
        </row>
        <row r="242">
          <cell r="J242">
            <v>26058</v>
          </cell>
        </row>
        <row r="243">
          <cell r="J243">
            <v>7181</v>
          </cell>
        </row>
        <row r="244">
          <cell r="J244">
            <v>11171.999999999998</v>
          </cell>
        </row>
        <row r="245">
          <cell r="J245">
            <v>3496</v>
          </cell>
        </row>
        <row r="246">
          <cell r="J246">
            <v>2400</v>
          </cell>
        </row>
        <row r="247">
          <cell r="J247">
            <v>4350</v>
          </cell>
        </row>
        <row r="248">
          <cell r="J248">
            <v>3950</v>
          </cell>
        </row>
        <row r="249">
          <cell r="J249">
            <v>460</v>
          </cell>
        </row>
        <row r="250">
          <cell r="J250">
            <v>16140</v>
          </cell>
          <cell r="Q250">
            <v>23102</v>
          </cell>
        </row>
        <row r="251">
          <cell r="J251">
            <v>3160</v>
          </cell>
          <cell r="Q251">
            <v>23107</v>
          </cell>
        </row>
        <row r="252">
          <cell r="J252">
            <v>5090</v>
          </cell>
          <cell r="Q252">
            <v>23222</v>
          </cell>
        </row>
        <row r="253">
          <cell r="J253">
            <v>2225</v>
          </cell>
        </row>
        <row r="254">
          <cell r="J254">
            <v>240000</v>
          </cell>
        </row>
        <row r="255">
          <cell r="J255">
            <v>70380</v>
          </cell>
          <cell r="Q255">
            <v>23127</v>
          </cell>
        </row>
        <row r="256">
          <cell r="J256">
            <v>10600</v>
          </cell>
        </row>
        <row r="257">
          <cell r="J257">
            <v>60800</v>
          </cell>
        </row>
        <row r="258">
          <cell r="J258">
            <v>31000</v>
          </cell>
        </row>
        <row r="259">
          <cell r="J259">
            <v>10235</v>
          </cell>
        </row>
        <row r="260">
          <cell r="J260">
            <v>3510</v>
          </cell>
          <cell r="Q260">
            <v>23111</v>
          </cell>
        </row>
        <row r="261">
          <cell r="J261">
            <v>10150</v>
          </cell>
        </row>
        <row r="262">
          <cell r="J262">
            <v>4120</v>
          </cell>
        </row>
        <row r="263">
          <cell r="J263">
            <v>11550</v>
          </cell>
        </row>
        <row r="264">
          <cell r="J264">
            <v>7960</v>
          </cell>
        </row>
        <row r="265">
          <cell r="J265">
            <v>52440</v>
          </cell>
        </row>
        <row r="266">
          <cell r="J266">
            <v>12760</v>
          </cell>
          <cell r="Q266">
            <v>23121</v>
          </cell>
        </row>
        <row r="267">
          <cell r="J267">
            <v>12760</v>
          </cell>
          <cell r="Q267">
            <v>23121</v>
          </cell>
        </row>
        <row r="268">
          <cell r="J268">
            <v>89200</v>
          </cell>
        </row>
        <row r="269">
          <cell r="J269">
            <v>7330</v>
          </cell>
        </row>
        <row r="270">
          <cell r="J270">
            <v>35779</v>
          </cell>
          <cell r="Q270">
            <v>23078</v>
          </cell>
        </row>
        <row r="271">
          <cell r="J271">
            <v>7440</v>
          </cell>
        </row>
        <row r="272">
          <cell r="J272">
            <v>6930</v>
          </cell>
          <cell r="Q272">
            <v>23131</v>
          </cell>
        </row>
        <row r="273">
          <cell r="J273">
            <v>18340</v>
          </cell>
          <cell r="Q273">
            <v>23131</v>
          </cell>
        </row>
        <row r="274">
          <cell r="J274">
            <v>4992</v>
          </cell>
        </row>
        <row r="275">
          <cell r="J275">
            <v>4326</v>
          </cell>
        </row>
        <row r="276">
          <cell r="J276">
            <v>4494</v>
          </cell>
        </row>
        <row r="277">
          <cell r="J277">
            <v>11750</v>
          </cell>
          <cell r="Q277">
            <v>23117</v>
          </cell>
        </row>
        <row r="278">
          <cell r="J278">
            <v>23500</v>
          </cell>
          <cell r="Q278">
            <v>23142</v>
          </cell>
        </row>
        <row r="279">
          <cell r="J279">
            <v>4224</v>
          </cell>
        </row>
        <row r="280">
          <cell r="J280">
            <v>29500</v>
          </cell>
          <cell r="Q280">
            <v>23113</v>
          </cell>
        </row>
        <row r="281">
          <cell r="J281">
            <v>22770</v>
          </cell>
          <cell r="Q281">
            <v>23115</v>
          </cell>
        </row>
        <row r="282">
          <cell r="J282">
            <v>4880</v>
          </cell>
          <cell r="Q282">
            <v>23143</v>
          </cell>
        </row>
        <row r="283">
          <cell r="J283">
            <v>19110</v>
          </cell>
          <cell r="Q283">
            <v>23134</v>
          </cell>
        </row>
        <row r="284">
          <cell r="J284">
            <v>90520</v>
          </cell>
          <cell r="Q284">
            <v>23122</v>
          </cell>
        </row>
        <row r="285">
          <cell r="J285">
            <v>22000</v>
          </cell>
        </row>
        <row r="286">
          <cell r="J286">
            <v>14100</v>
          </cell>
        </row>
        <row r="287">
          <cell r="J287">
            <v>20592</v>
          </cell>
        </row>
        <row r="288">
          <cell r="J288">
            <v>18810</v>
          </cell>
          <cell r="Q288">
            <v>23120</v>
          </cell>
        </row>
        <row r="289">
          <cell r="J289">
            <v>18405</v>
          </cell>
          <cell r="Q289">
            <v>23120</v>
          </cell>
        </row>
        <row r="290">
          <cell r="J290">
            <v>12000</v>
          </cell>
        </row>
        <row r="291">
          <cell r="J291">
            <v>309750</v>
          </cell>
        </row>
        <row r="292">
          <cell r="J292">
            <v>18151.599999999999</v>
          </cell>
        </row>
        <row r="293">
          <cell r="J293">
            <v>6149.9999999999991</v>
          </cell>
        </row>
        <row r="294">
          <cell r="J294">
            <v>26000</v>
          </cell>
          <cell r="Q294">
            <v>23157</v>
          </cell>
        </row>
        <row r="295">
          <cell r="J295">
            <v>20800</v>
          </cell>
        </row>
        <row r="296">
          <cell r="J296">
            <v>5680</v>
          </cell>
          <cell r="Q296">
            <v>23130</v>
          </cell>
        </row>
        <row r="297">
          <cell r="J297">
            <v>8250</v>
          </cell>
        </row>
        <row r="298">
          <cell r="J298">
            <v>22950</v>
          </cell>
        </row>
        <row r="299">
          <cell r="J299">
            <v>60427.5</v>
          </cell>
        </row>
        <row r="300">
          <cell r="J300">
            <v>12600</v>
          </cell>
        </row>
        <row r="301">
          <cell r="J301">
            <v>12160</v>
          </cell>
        </row>
        <row r="302">
          <cell r="J302">
            <v>18400</v>
          </cell>
        </row>
        <row r="303">
          <cell r="J303">
            <v>243200</v>
          </cell>
          <cell r="Q303">
            <v>23133</v>
          </cell>
        </row>
        <row r="304">
          <cell r="J304">
            <v>71200</v>
          </cell>
        </row>
        <row r="305">
          <cell r="J305">
            <v>6600.0000000000009</v>
          </cell>
        </row>
        <row r="306">
          <cell r="J306">
            <v>24599.999999999996</v>
          </cell>
        </row>
        <row r="307">
          <cell r="J307">
            <v>6360</v>
          </cell>
          <cell r="Q307">
            <v>23129</v>
          </cell>
        </row>
        <row r="308">
          <cell r="J308">
            <v>23920</v>
          </cell>
        </row>
        <row r="309">
          <cell r="J309">
            <v>16760</v>
          </cell>
        </row>
        <row r="310">
          <cell r="J310">
            <v>17926.5</v>
          </cell>
        </row>
        <row r="311">
          <cell r="J311">
            <v>247544</v>
          </cell>
        </row>
        <row r="312">
          <cell r="J312">
            <v>7500</v>
          </cell>
        </row>
        <row r="313">
          <cell r="J313">
            <v>3375</v>
          </cell>
        </row>
        <row r="314">
          <cell r="J314">
            <v>8600</v>
          </cell>
          <cell r="Q314">
            <v>23128</v>
          </cell>
        </row>
        <row r="315">
          <cell r="J315">
            <v>17080</v>
          </cell>
          <cell r="Q315">
            <v>23128</v>
          </cell>
        </row>
        <row r="316">
          <cell r="J316">
            <v>9100</v>
          </cell>
        </row>
        <row r="317">
          <cell r="J317">
            <v>10060</v>
          </cell>
        </row>
        <row r="318">
          <cell r="J318">
            <v>9100</v>
          </cell>
        </row>
        <row r="319">
          <cell r="J319">
            <v>14000</v>
          </cell>
        </row>
        <row r="320">
          <cell r="J320">
            <v>32175</v>
          </cell>
        </row>
        <row r="321">
          <cell r="J321">
            <v>32199.999999999996</v>
          </cell>
          <cell r="Q321">
            <v>23144</v>
          </cell>
        </row>
        <row r="322">
          <cell r="J322">
            <v>21782.25</v>
          </cell>
        </row>
        <row r="323">
          <cell r="J323">
            <v>16401.600000000002</v>
          </cell>
        </row>
        <row r="324">
          <cell r="J324">
            <v>25888.45</v>
          </cell>
        </row>
        <row r="325">
          <cell r="J325">
            <v>21714.5</v>
          </cell>
        </row>
        <row r="326">
          <cell r="J326">
            <v>11984.8</v>
          </cell>
        </row>
        <row r="327">
          <cell r="J327">
            <v>4600</v>
          </cell>
        </row>
        <row r="328">
          <cell r="J328">
            <v>4000</v>
          </cell>
        </row>
        <row r="329">
          <cell r="J329">
            <v>73910</v>
          </cell>
        </row>
        <row r="330">
          <cell r="J330">
            <v>33675</v>
          </cell>
        </row>
        <row r="331">
          <cell r="J331">
            <v>45900</v>
          </cell>
          <cell r="Q331">
            <v>23126</v>
          </cell>
        </row>
        <row r="332">
          <cell r="J332">
            <v>11975</v>
          </cell>
          <cell r="Q332">
            <v>23135</v>
          </cell>
        </row>
        <row r="333">
          <cell r="J333">
            <v>12369</v>
          </cell>
          <cell r="Q333">
            <v>23132</v>
          </cell>
        </row>
        <row r="334">
          <cell r="J334">
            <v>17850</v>
          </cell>
        </row>
        <row r="335">
          <cell r="J335">
            <v>14476</v>
          </cell>
          <cell r="Q335">
            <v>23132</v>
          </cell>
        </row>
        <row r="336">
          <cell r="J336">
            <v>34400</v>
          </cell>
        </row>
        <row r="337">
          <cell r="J337">
            <v>12920</v>
          </cell>
          <cell r="Q337">
            <v>23168</v>
          </cell>
        </row>
        <row r="338">
          <cell r="J338">
            <v>8400</v>
          </cell>
          <cell r="Q338">
            <v>23140</v>
          </cell>
        </row>
        <row r="339">
          <cell r="J339">
            <v>16600</v>
          </cell>
          <cell r="Q339">
            <v>23190</v>
          </cell>
        </row>
        <row r="340">
          <cell r="J340">
            <v>1080</v>
          </cell>
        </row>
        <row r="341">
          <cell r="J341">
            <v>11025</v>
          </cell>
          <cell r="Q341">
            <v>23136</v>
          </cell>
        </row>
        <row r="342">
          <cell r="J342">
            <v>46800</v>
          </cell>
          <cell r="Q342">
            <v>23154</v>
          </cell>
        </row>
        <row r="343">
          <cell r="J343">
            <v>892.5</v>
          </cell>
        </row>
        <row r="344">
          <cell r="J344">
            <v>11679</v>
          </cell>
        </row>
        <row r="345">
          <cell r="J345">
            <v>0</v>
          </cell>
        </row>
        <row r="346">
          <cell r="J346">
            <v>26449.999999999996</v>
          </cell>
        </row>
        <row r="347">
          <cell r="J347">
            <v>65000</v>
          </cell>
          <cell r="Q347">
            <v>23139</v>
          </cell>
        </row>
        <row r="348">
          <cell r="J348">
            <v>9580</v>
          </cell>
          <cell r="Q348">
            <v>23178</v>
          </cell>
        </row>
        <row r="349">
          <cell r="J349">
            <v>31360</v>
          </cell>
        </row>
        <row r="350">
          <cell r="J350">
            <v>138000</v>
          </cell>
        </row>
        <row r="351">
          <cell r="J351">
            <v>0</v>
          </cell>
        </row>
        <row r="352">
          <cell r="J352">
            <v>5860</v>
          </cell>
        </row>
        <row r="353">
          <cell r="J353">
            <v>5800</v>
          </cell>
        </row>
        <row r="354">
          <cell r="J354">
            <v>4940</v>
          </cell>
        </row>
        <row r="355">
          <cell r="J355">
            <v>3520</v>
          </cell>
        </row>
        <row r="356">
          <cell r="J356">
            <v>3640</v>
          </cell>
        </row>
        <row r="357">
          <cell r="J357">
            <v>2800</v>
          </cell>
        </row>
        <row r="358">
          <cell r="J358">
            <v>3580</v>
          </cell>
        </row>
        <row r="359">
          <cell r="J359">
            <v>3640</v>
          </cell>
        </row>
        <row r="360">
          <cell r="J360">
            <v>3580</v>
          </cell>
        </row>
        <row r="361">
          <cell r="J361">
            <v>4300</v>
          </cell>
        </row>
        <row r="362">
          <cell r="J362">
            <v>3640</v>
          </cell>
        </row>
        <row r="363">
          <cell r="J363">
            <v>3520</v>
          </cell>
        </row>
        <row r="364">
          <cell r="J364">
            <v>3700</v>
          </cell>
        </row>
        <row r="365">
          <cell r="J365">
            <v>3700</v>
          </cell>
        </row>
        <row r="366">
          <cell r="J366">
            <v>3580</v>
          </cell>
        </row>
        <row r="367">
          <cell r="J367">
            <v>3580</v>
          </cell>
        </row>
        <row r="368">
          <cell r="J368">
            <v>3580</v>
          </cell>
        </row>
        <row r="369">
          <cell r="J369">
            <v>3640</v>
          </cell>
        </row>
        <row r="370">
          <cell r="J370">
            <v>3700</v>
          </cell>
        </row>
        <row r="371">
          <cell r="J371">
            <v>3640</v>
          </cell>
        </row>
        <row r="372">
          <cell r="J372">
            <v>3520</v>
          </cell>
        </row>
        <row r="373">
          <cell r="J373">
            <v>3480</v>
          </cell>
        </row>
        <row r="374">
          <cell r="J374">
            <v>3580</v>
          </cell>
        </row>
        <row r="375">
          <cell r="J375">
            <v>5740</v>
          </cell>
        </row>
        <row r="376">
          <cell r="J376">
            <v>3420</v>
          </cell>
        </row>
        <row r="377">
          <cell r="J377">
            <v>4120</v>
          </cell>
        </row>
        <row r="378">
          <cell r="J378">
            <v>3460</v>
          </cell>
        </row>
        <row r="379">
          <cell r="J379">
            <v>3460</v>
          </cell>
        </row>
        <row r="380">
          <cell r="J380">
            <v>4380</v>
          </cell>
        </row>
        <row r="381">
          <cell r="J381">
            <v>7420</v>
          </cell>
        </row>
        <row r="382">
          <cell r="J382">
            <v>4380</v>
          </cell>
        </row>
        <row r="383">
          <cell r="J383">
            <v>3800</v>
          </cell>
        </row>
        <row r="384">
          <cell r="J384">
            <v>3640</v>
          </cell>
        </row>
        <row r="385">
          <cell r="J385">
            <v>4320</v>
          </cell>
        </row>
        <row r="386">
          <cell r="J386">
            <v>8220</v>
          </cell>
        </row>
        <row r="387">
          <cell r="J387">
            <v>29600</v>
          </cell>
        </row>
        <row r="388">
          <cell r="J388">
            <v>7425</v>
          </cell>
        </row>
        <row r="389">
          <cell r="J389">
            <v>9050</v>
          </cell>
        </row>
        <row r="390">
          <cell r="J390">
            <v>15606</v>
          </cell>
        </row>
        <row r="391">
          <cell r="J391">
            <v>3280</v>
          </cell>
        </row>
        <row r="392">
          <cell r="J392">
            <v>15585.5</v>
          </cell>
        </row>
        <row r="393">
          <cell r="J393">
            <v>14450</v>
          </cell>
        </row>
        <row r="394">
          <cell r="J394">
            <v>53699.999999999993</v>
          </cell>
          <cell r="Q394">
            <v>23223</v>
          </cell>
        </row>
        <row r="395">
          <cell r="J395">
            <v>20460</v>
          </cell>
          <cell r="Q395">
            <v>23227</v>
          </cell>
        </row>
        <row r="396">
          <cell r="J396">
            <v>27750</v>
          </cell>
          <cell r="Q396">
            <v>23224</v>
          </cell>
        </row>
        <row r="397">
          <cell r="J397">
            <v>19800</v>
          </cell>
          <cell r="Q397">
            <v>23226</v>
          </cell>
        </row>
        <row r="398">
          <cell r="J398">
            <v>48750</v>
          </cell>
          <cell r="Q398">
            <v>23225</v>
          </cell>
        </row>
        <row r="399">
          <cell r="J399">
            <v>80550</v>
          </cell>
        </row>
        <row r="400">
          <cell r="J400">
            <v>5500</v>
          </cell>
        </row>
        <row r="401">
          <cell r="J401">
            <v>9000</v>
          </cell>
        </row>
        <row r="402">
          <cell r="J402">
            <v>38800</v>
          </cell>
          <cell r="Q402">
            <v>23170</v>
          </cell>
        </row>
        <row r="403">
          <cell r="J403">
            <v>13750</v>
          </cell>
        </row>
        <row r="404">
          <cell r="J404">
            <v>6650</v>
          </cell>
          <cell r="Q404">
            <v>23145</v>
          </cell>
        </row>
        <row r="405">
          <cell r="J405">
            <v>23450</v>
          </cell>
        </row>
        <row r="406">
          <cell r="J406">
            <v>16488</v>
          </cell>
          <cell r="Q406">
            <v>23151</v>
          </cell>
        </row>
        <row r="407">
          <cell r="J407">
            <v>2184</v>
          </cell>
        </row>
        <row r="408">
          <cell r="J408">
            <v>4070.0000000000009</v>
          </cell>
        </row>
        <row r="409">
          <cell r="J409">
            <v>2948</v>
          </cell>
        </row>
        <row r="410">
          <cell r="J410">
            <v>27092.400000000001</v>
          </cell>
          <cell r="Q410">
            <v>23146</v>
          </cell>
        </row>
        <row r="411">
          <cell r="J411">
            <v>24896.84</v>
          </cell>
          <cell r="Q411">
            <v>23148</v>
          </cell>
        </row>
        <row r="412">
          <cell r="J412">
            <v>9109.35</v>
          </cell>
          <cell r="Q412">
            <v>23147</v>
          </cell>
        </row>
        <row r="413">
          <cell r="J413">
            <v>7550</v>
          </cell>
        </row>
        <row r="414">
          <cell r="J414">
            <v>46272.5</v>
          </cell>
          <cell r="Q414">
            <v>23153</v>
          </cell>
        </row>
        <row r="415">
          <cell r="J415">
            <v>8700</v>
          </cell>
        </row>
        <row r="416">
          <cell r="J416">
            <v>65520</v>
          </cell>
          <cell r="Q416">
            <v>23153</v>
          </cell>
        </row>
        <row r="417">
          <cell r="J417">
            <v>41360</v>
          </cell>
          <cell r="Q417">
            <v>23172</v>
          </cell>
        </row>
        <row r="418">
          <cell r="J418">
            <v>6750</v>
          </cell>
        </row>
        <row r="419">
          <cell r="J419">
            <v>58500</v>
          </cell>
        </row>
        <row r="420">
          <cell r="J420">
            <v>16420</v>
          </cell>
          <cell r="Q420">
            <v>23193</v>
          </cell>
        </row>
        <row r="421">
          <cell r="J421">
            <v>104000</v>
          </cell>
        </row>
        <row r="422">
          <cell r="J422">
            <v>145440</v>
          </cell>
        </row>
        <row r="423">
          <cell r="J423">
            <v>6338.4000000000005</v>
          </cell>
        </row>
        <row r="424">
          <cell r="J424">
            <v>7450</v>
          </cell>
        </row>
        <row r="425">
          <cell r="J425">
            <v>228000</v>
          </cell>
        </row>
        <row r="426">
          <cell r="J426">
            <v>79600</v>
          </cell>
        </row>
        <row r="427">
          <cell r="J427">
            <v>80800</v>
          </cell>
        </row>
        <row r="428">
          <cell r="J428">
            <v>96000</v>
          </cell>
        </row>
        <row r="429">
          <cell r="J429">
            <v>18312</v>
          </cell>
          <cell r="Q429">
            <v>23213</v>
          </cell>
        </row>
        <row r="430">
          <cell r="J430">
            <v>59407.999999999993</v>
          </cell>
        </row>
        <row r="431">
          <cell r="J431">
            <v>163000</v>
          </cell>
          <cell r="Q431">
            <v>23203</v>
          </cell>
        </row>
        <row r="432">
          <cell r="J432">
            <v>4400</v>
          </cell>
          <cell r="Q432">
            <v>23204</v>
          </cell>
        </row>
        <row r="433">
          <cell r="J433">
            <v>7000</v>
          </cell>
          <cell r="Q433">
            <v>23155</v>
          </cell>
        </row>
        <row r="434">
          <cell r="J434">
            <v>22275</v>
          </cell>
        </row>
        <row r="435">
          <cell r="J435">
            <v>24000</v>
          </cell>
        </row>
        <row r="436">
          <cell r="J436">
            <v>26650</v>
          </cell>
        </row>
        <row r="437">
          <cell r="J437">
            <v>28000</v>
          </cell>
        </row>
        <row r="438">
          <cell r="J438">
            <v>57360</v>
          </cell>
        </row>
        <row r="439">
          <cell r="J439">
            <v>28800</v>
          </cell>
        </row>
        <row r="440">
          <cell r="J440">
            <v>70400</v>
          </cell>
          <cell r="Q440">
            <v>23164</v>
          </cell>
        </row>
        <row r="441">
          <cell r="J441">
            <v>26800</v>
          </cell>
          <cell r="Q441">
            <v>23162</v>
          </cell>
        </row>
        <row r="442">
          <cell r="J442">
            <v>16502</v>
          </cell>
          <cell r="Q442">
            <v>23158</v>
          </cell>
        </row>
        <row r="443">
          <cell r="J443">
            <v>12705</v>
          </cell>
          <cell r="Q443">
            <v>23158</v>
          </cell>
        </row>
        <row r="444">
          <cell r="J444">
            <v>7900</v>
          </cell>
          <cell r="Q444">
            <v>23158</v>
          </cell>
        </row>
        <row r="445">
          <cell r="J445">
            <v>17300</v>
          </cell>
          <cell r="Q445">
            <v>23138</v>
          </cell>
        </row>
        <row r="446">
          <cell r="J446">
            <v>13799.999999999998</v>
          </cell>
        </row>
        <row r="447">
          <cell r="J447">
            <v>26130.000000000004</v>
          </cell>
          <cell r="Q447">
            <v>23163</v>
          </cell>
        </row>
        <row r="448">
          <cell r="J448">
            <v>41600</v>
          </cell>
        </row>
        <row r="449">
          <cell r="J449">
            <v>27200</v>
          </cell>
        </row>
        <row r="450">
          <cell r="J450">
            <v>4900</v>
          </cell>
        </row>
        <row r="451">
          <cell r="J451">
            <v>26250</v>
          </cell>
        </row>
        <row r="452">
          <cell r="J452">
            <v>42850</v>
          </cell>
        </row>
        <row r="453">
          <cell r="J453">
            <v>3180</v>
          </cell>
        </row>
        <row r="454">
          <cell r="J454">
            <v>18720</v>
          </cell>
          <cell r="Q454">
            <v>23191</v>
          </cell>
        </row>
        <row r="455">
          <cell r="J455">
            <v>17625</v>
          </cell>
        </row>
        <row r="456">
          <cell r="J456">
            <v>101700</v>
          </cell>
        </row>
        <row r="457">
          <cell r="J457">
            <v>3416.3999999999996</v>
          </cell>
          <cell r="Q457">
            <v>23166</v>
          </cell>
        </row>
        <row r="458">
          <cell r="J458">
            <v>2267.2000000000003</v>
          </cell>
          <cell r="Q458">
            <v>23167</v>
          </cell>
        </row>
        <row r="459">
          <cell r="J459">
            <v>4176</v>
          </cell>
          <cell r="Q459">
            <v>23160</v>
          </cell>
        </row>
        <row r="460">
          <cell r="J460">
            <v>29339.999999999996</v>
          </cell>
          <cell r="Q460">
            <v>23206</v>
          </cell>
        </row>
        <row r="461">
          <cell r="J461">
            <v>2910</v>
          </cell>
          <cell r="Q461">
            <v>23167</v>
          </cell>
        </row>
        <row r="462">
          <cell r="J462">
            <v>420000</v>
          </cell>
        </row>
        <row r="463">
          <cell r="J463">
            <v>359000</v>
          </cell>
        </row>
        <row r="464">
          <cell r="J464">
            <v>31300</v>
          </cell>
        </row>
        <row r="465">
          <cell r="J465">
            <v>24500</v>
          </cell>
        </row>
        <row r="466">
          <cell r="J466">
            <v>5300</v>
          </cell>
        </row>
        <row r="467">
          <cell r="J467">
            <v>91800</v>
          </cell>
          <cell r="Q467">
            <v>23210</v>
          </cell>
        </row>
        <row r="468">
          <cell r="J468">
            <v>287400</v>
          </cell>
          <cell r="Q468">
            <v>23209</v>
          </cell>
        </row>
        <row r="469">
          <cell r="J469">
            <v>97200</v>
          </cell>
          <cell r="Q469">
            <v>23211</v>
          </cell>
        </row>
        <row r="470">
          <cell r="J470">
            <v>74000</v>
          </cell>
        </row>
        <row r="471">
          <cell r="J471">
            <v>7850</v>
          </cell>
        </row>
        <row r="472">
          <cell r="J472">
            <v>11950.999999999998</v>
          </cell>
        </row>
        <row r="473">
          <cell r="J473">
            <v>11000</v>
          </cell>
          <cell r="Q473">
            <v>23194</v>
          </cell>
        </row>
        <row r="474">
          <cell r="J474">
            <v>4860</v>
          </cell>
        </row>
        <row r="475">
          <cell r="J475">
            <v>7370</v>
          </cell>
        </row>
        <row r="476">
          <cell r="J476">
            <v>5612.6</v>
          </cell>
        </row>
        <row r="477">
          <cell r="J477">
            <v>8229</v>
          </cell>
        </row>
        <row r="478">
          <cell r="J478">
            <v>4072.3</v>
          </cell>
        </row>
        <row r="479">
          <cell r="J479">
            <v>30799.999999999996</v>
          </cell>
        </row>
        <row r="480">
          <cell r="J480">
            <v>5680</v>
          </cell>
        </row>
        <row r="481">
          <cell r="J481">
            <v>6160</v>
          </cell>
        </row>
        <row r="482">
          <cell r="J482">
            <v>4512</v>
          </cell>
        </row>
        <row r="483">
          <cell r="J483">
            <v>16550</v>
          </cell>
        </row>
        <row r="484">
          <cell r="J484">
            <v>2820</v>
          </cell>
        </row>
        <row r="485">
          <cell r="J485">
            <v>78240</v>
          </cell>
          <cell r="Q485">
            <v>23171</v>
          </cell>
        </row>
        <row r="486">
          <cell r="J486">
            <v>28140.000000000004</v>
          </cell>
        </row>
        <row r="487">
          <cell r="J487">
            <v>18760</v>
          </cell>
        </row>
        <row r="488">
          <cell r="J488">
            <v>21000</v>
          </cell>
        </row>
        <row r="489">
          <cell r="J489">
            <v>5730.56</v>
          </cell>
          <cell r="Q489">
            <v>23214</v>
          </cell>
        </row>
        <row r="490">
          <cell r="J490">
            <v>10676.4</v>
          </cell>
          <cell r="Q490">
            <v>23215</v>
          </cell>
        </row>
        <row r="491">
          <cell r="J491">
            <v>9899.52</v>
          </cell>
          <cell r="Q491">
            <v>23216</v>
          </cell>
        </row>
        <row r="492">
          <cell r="J492">
            <v>149700</v>
          </cell>
          <cell r="Q492">
            <v>23184</v>
          </cell>
        </row>
        <row r="493">
          <cell r="J493">
            <v>202730</v>
          </cell>
          <cell r="Q493">
            <v>23183</v>
          </cell>
        </row>
        <row r="494">
          <cell r="J494">
            <v>1840</v>
          </cell>
        </row>
        <row r="495">
          <cell r="J495">
            <v>4808.5</v>
          </cell>
        </row>
        <row r="496">
          <cell r="J496">
            <v>6300</v>
          </cell>
        </row>
        <row r="497">
          <cell r="J497">
            <v>9100</v>
          </cell>
        </row>
        <row r="498">
          <cell r="J498">
            <v>14375</v>
          </cell>
        </row>
        <row r="499">
          <cell r="J499">
            <v>13350</v>
          </cell>
        </row>
        <row r="500">
          <cell r="J500">
            <v>13350</v>
          </cell>
        </row>
        <row r="501">
          <cell r="J501">
            <v>25710</v>
          </cell>
        </row>
        <row r="502">
          <cell r="J502">
            <v>6680</v>
          </cell>
          <cell r="Q502">
            <v>23187</v>
          </cell>
        </row>
        <row r="503">
          <cell r="J503">
            <v>18900</v>
          </cell>
        </row>
        <row r="504">
          <cell r="J504">
            <v>10560</v>
          </cell>
        </row>
        <row r="505">
          <cell r="J505">
            <v>3125</v>
          </cell>
        </row>
        <row r="506">
          <cell r="J506">
            <v>88042.5</v>
          </cell>
          <cell r="Q506">
            <v>23174</v>
          </cell>
        </row>
        <row r="507">
          <cell r="J507">
            <v>141514</v>
          </cell>
          <cell r="Q507">
            <v>23242</v>
          </cell>
        </row>
        <row r="508">
          <cell r="J508">
            <v>32099.999999999996</v>
          </cell>
        </row>
        <row r="509">
          <cell r="J509">
            <v>1540</v>
          </cell>
        </row>
        <row r="510">
          <cell r="J510">
            <v>4350</v>
          </cell>
        </row>
        <row r="511">
          <cell r="J511">
            <v>19875</v>
          </cell>
          <cell r="Q511">
            <v>23182</v>
          </cell>
        </row>
        <row r="512">
          <cell r="J512">
            <v>19575</v>
          </cell>
          <cell r="Q512">
            <v>23181</v>
          </cell>
        </row>
        <row r="513">
          <cell r="J513">
            <v>22400</v>
          </cell>
        </row>
        <row r="514">
          <cell r="J514">
            <v>7964.9999999999982</v>
          </cell>
          <cell r="Q514">
            <v>23191</v>
          </cell>
        </row>
        <row r="515">
          <cell r="J515">
            <v>2125</v>
          </cell>
        </row>
        <row r="516">
          <cell r="J516">
            <v>4420</v>
          </cell>
        </row>
        <row r="517">
          <cell r="J517">
            <v>5260</v>
          </cell>
        </row>
        <row r="518">
          <cell r="J518">
            <v>2948</v>
          </cell>
        </row>
        <row r="519">
          <cell r="J519">
            <v>15150</v>
          </cell>
          <cell r="Q519">
            <v>23192</v>
          </cell>
        </row>
        <row r="520">
          <cell r="J520">
            <v>27300</v>
          </cell>
        </row>
        <row r="521">
          <cell r="J521">
            <v>2700</v>
          </cell>
        </row>
        <row r="522">
          <cell r="J522">
            <v>29880.000000000004</v>
          </cell>
        </row>
        <row r="523">
          <cell r="J523">
            <v>2575</v>
          </cell>
        </row>
        <row r="524">
          <cell r="J524">
            <v>9650</v>
          </cell>
        </row>
        <row r="525">
          <cell r="J525">
            <v>12870</v>
          </cell>
        </row>
        <row r="526">
          <cell r="J526">
            <v>2975</v>
          </cell>
          <cell r="Q526">
            <v>23176</v>
          </cell>
        </row>
        <row r="527">
          <cell r="J527">
            <v>29850</v>
          </cell>
        </row>
        <row r="528">
          <cell r="J528">
            <v>26099.999999999996</v>
          </cell>
        </row>
        <row r="529">
          <cell r="J529">
            <v>3340</v>
          </cell>
        </row>
        <row r="530">
          <cell r="J530">
            <v>1945</v>
          </cell>
        </row>
        <row r="531">
          <cell r="J531">
            <v>1945</v>
          </cell>
        </row>
        <row r="532">
          <cell r="J532">
            <v>3270</v>
          </cell>
        </row>
        <row r="533">
          <cell r="J533">
            <v>3340</v>
          </cell>
        </row>
        <row r="534">
          <cell r="J534">
            <v>3969.0000000000009</v>
          </cell>
        </row>
        <row r="535">
          <cell r="J535">
            <v>6720</v>
          </cell>
          <cell r="Q535">
            <v>23189</v>
          </cell>
        </row>
        <row r="536">
          <cell r="J536">
            <v>8800</v>
          </cell>
          <cell r="Q536">
            <v>23189</v>
          </cell>
        </row>
        <row r="537">
          <cell r="J537">
            <v>41400</v>
          </cell>
        </row>
        <row r="538">
          <cell r="J538">
            <v>3040</v>
          </cell>
        </row>
        <row r="539">
          <cell r="J539">
            <v>2632</v>
          </cell>
        </row>
        <row r="540">
          <cell r="J540">
            <v>2400</v>
          </cell>
        </row>
        <row r="541">
          <cell r="J541">
            <v>15660</v>
          </cell>
        </row>
        <row r="542">
          <cell r="J542">
            <v>4300</v>
          </cell>
        </row>
        <row r="543">
          <cell r="J543">
            <v>3340</v>
          </cell>
        </row>
        <row r="544">
          <cell r="J544">
            <v>2574</v>
          </cell>
        </row>
        <row r="545">
          <cell r="J545">
            <v>8205</v>
          </cell>
          <cell r="Q545">
            <v>23177</v>
          </cell>
        </row>
        <row r="546">
          <cell r="J546">
            <v>18750</v>
          </cell>
          <cell r="Q546">
            <v>23195</v>
          </cell>
        </row>
        <row r="547">
          <cell r="J547">
            <v>29490</v>
          </cell>
          <cell r="Q547">
            <v>23195</v>
          </cell>
        </row>
        <row r="548">
          <cell r="J548">
            <v>7850</v>
          </cell>
        </row>
        <row r="549">
          <cell r="J549">
            <v>26400.000000000004</v>
          </cell>
        </row>
        <row r="550">
          <cell r="J550">
            <v>48000</v>
          </cell>
        </row>
        <row r="551">
          <cell r="J551">
            <v>3470</v>
          </cell>
        </row>
        <row r="552">
          <cell r="J552">
            <v>18900</v>
          </cell>
        </row>
        <row r="553">
          <cell r="J553">
            <v>3487.5000000000005</v>
          </cell>
        </row>
        <row r="554">
          <cell r="J554">
            <v>16544</v>
          </cell>
        </row>
        <row r="555">
          <cell r="J555">
            <v>14712</v>
          </cell>
        </row>
        <row r="556">
          <cell r="J556">
            <v>17500</v>
          </cell>
          <cell r="Q556">
            <v>23251</v>
          </cell>
        </row>
        <row r="557">
          <cell r="J557">
            <v>3887.0000000000009</v>
          </cell>
        </row>
        <row r="558">
          <cell r="J558">
            <v>6500</v>
          </cell>
        </row>
        <row r="559">
          <cell r="J559">
            <v>11300</v>
          </cell>
        </row>
        <row r="560">
          <cell r="J560">
            <v>3040</v>
          </cell>
        </row>
        <row r="561">
          <cell r="J561">
            <v>3275</v>
          </cell>
        </row>
        <row r="562">
          <cell r="J562">
            <v>64300</v>
          </cell>
        </row>
        <row r="563">
          <cell r="J563">
            <v>21600</v>
          </cell>
        </row>
        <row r="564">
          <cell r="J564">
            <v>9750</v>
          </cell>
        </row>
        <row r="565">
          <cell r="J565">
            <v>23000</v>
          </cell>
          <cell r="Q565">
            <v>23205</v>
          </cell>
        </row>
        <row r="566">
          <cell r="J566">
            <v>6390</v>
          </cell>
        </row>
        <row r="567">
          <cell r="J567">
            <v>9954</v>
          </cell>
        </row>
        <row r="568">
          <cell r="J568">
            <v>92520</v>
          </cell>
          <cell r="Q568">
            <v>23229</v>
          </cell>
        </row>
        <row r="569">
          <cell r="J569">
            <v>3520.0000000000005</v>
          </cell>
        </row>
        <row r="570">
          <cell r="J570">
            <v>56100</v>
          </cell>
        </row>
        <row r="571">
          <cell r="J571">
            <v>3200</v>
          </cell>
          <cell r="Q571">
            <v>23207</v>
          </cell>
        </row>
        <row r="572">
          <cell r="J572">
            <v>9525</v>
          </cell>
        </row>
        <row r="573">
          <cell r="J573">
            <v>730</v>
          </cell>
        </row>
        <row r="574">
          <cell r="J574">
            <v>3734.5</v>
          </cell>
        </row>
        <row r="575">
          <cell r="J575">
            <v>8000</v>
          </cell>
        </row>
        <row r="576">
          <cell r="J576">
            <v>20000</v>
          </cell>
          <cell r="Q576">
            <v>23208</v>
          </cell>
        </row>
        <row r="577">
          <cell r="J577">
            <v>39060</v>
          </cell>
          <cell r="Q577">
            <v>23230</v>
          </cell>
        </row>
        <row r="578">
          <cell r="J578">
            <v>25960</v>
          </cell>
        </row>
        <row r="579">
          <cell r="J579">
            <v>12390</v>
          </cell>
        </row>
        <row r="580">
          <cell r="J580">
            <v>0</v>
          </cell>
        </row>
        <row r="581">
          <cell r="J581">
            <v>0</v>
          </cell>
        </row>
        <row r="582">
          <cell r="J582">
            <v>2190</v>
          </cell>
        </row>
        <row r="583">
          <cell r="J583">
            <v>2760</v>
          </cell>
        </row>
        <row r="584">
          <cell r="J584">
            <v>19500</v>
          </cell>
        </row>
        <row r="585">
          <cell r="J585">
            <v>9301.5</v>
          </cell>
        </row>
        <row r="586">
          <cell r="J586">
            <v>6300</v>
          </cell>
          <cell r="Q586">
            <v>23221</v>
          </cell>
        </row>
        <row r="587">
          <cell r="J587">
            <v>22400</v>
          </cell>
          <cell r="Q587">
            <v>23218</v>
          </cell>
        </row>
        <row r="588">
          <cell r="J588">
            <v>5940</v>
          </cell>
        </row>
        <row r="589">
          <cell r="J589">
            <v>1800</v>
          </cell>
        </row>
        <row r="590">
          <cell r="J590">
            <v>8850</v>
          </cell>
        </row>
        <row r="591">
          <cell r="J591">
            <v>8379</v>
          </cell>
        </row>
        <row r="592">
          <cell r="J592">
            <v>19080</v>
          </cell>
        </row>
        <row r="593">
          <cell r="J593">
            <v>14719.999999999998</v>
          </cell>
        </row>
        <row r="594">
          <cell r="J594">
            <v>6060</v>
          </cell>
        </row>
        <row r="595">
          <cell r="J595">
            <v>15825</v>
          </cell>
        </row>
        <row r="596">
          <cell r="J596">
            <v>26331</v>
          </cell>
        </row>
        <row r="597">
          <cell r="J597">
            <v>30030</v>
          </cell>
        </row>
        <row r="598">
          <cell r="J598">
            <v>15780</v>
          </cell>
        </row>
        <row r="599">
          <cell r="J599">
            <v>17400</v>
          </cell>
          <cell r="Q599">
            <v>23245</v>
          </cell>
        </row>
        <row r="600">
          <cell r="J600">
            <v>5500</v>
          </cell>
          <cell r="Q600">
            <v>23241</v>
          </cell>
        </row>
        <row r="601">
          <cell r="J601">
            <v>2150</v>
          </cell>
          <cell r="Q601">
            <v>23239</v>
          </cell>
        </row>
        <row r="602">
          <cell r="J602">
            <v>2808</v>
          </cell>
        </row>
        <row r="603">
          <cell r="J603">
            <v>104000</v>
          </cell>
        </row>
        <row r="604">
          <cell r="J604">
            <v>17000</v>
          </cell>
        </row>
        <row r="605">
          <cell r="J605">
            <v>76560</v>
          </cell>
        </row>
        <row r="606">
          <cell r="J606">
            <v>21840</v>
          </cell>
        </row>
        <row r="607">
          <cell r="J607">
            <v>8100</v>
          </cell>
        </row>
        <row r="608">
          <cell r="J608">
            <v>36736</v>
          </cell>
          <cell r="Q608">
            <v>23237</v>
          </cell>
        </row>
        <row r="609">
          <cell r="J609">
            <v>17864</v>
          </cell>
          <cell r="Q609">
            <v>23233</v>
          </cell>
        </row>
        <row r="610">
          <cell r="J610">
            <v>26786</v>
          </cell>
          <cell r="Q610">
            <v>23234</v>
          </cell>
        </row>
        <row r="611">
          <cell r="J611">
            <v>21390</v>
          </cell>
          <cell r="Q611">
            <v>23236</v>
          </cell>
        </row>
        <row r="612">
          <cell r="J612">
            <v>10234</v>
          </cell>
          <cell r="Q612">
            <v>23235</v>
          </cell>
        </row>
        <row r="613">
          <cell r="J613">
            <v>45720</v>
          </cell>
          <cell r="Q613">
            <v>23232</v>
          </cell>
        </row>
        <row r="614">
          <cell r="J614">
            <v>3975</v>
          </cell>
          <cell r="Q614">
            <v>23246</v>
          </cell>
        </row>
        <row r="615">
          <cell r="J615">
            <v>36920</v>
          </cell>
        </row>
        <row r="616">
          <cell r="J616">
            <v>5925</v>
          </cell>
        </row>
        <row r="617">
          <cell r="J617">
            <v>3300</v>
          </cell>
        </row>
        <row r="618">
          <cell r="J618">
            <v>3550</v>
          </cell>
        </row>
        <row r="619">
          <cell r="J619">
            <v>2375</v>
          </cell>
        </row>
        <row r="620">
          <cell r="J620">
            <v>29900</v>
          </cell>
        </row>
        <row r="621">
          <cell r="J621">
            <v>39245</v>
          </cell>
        </row>
        <row r="622">
          <cell r="J622">
            <v>1228.5</v>
          </cell>
        </row>
        <row r="623">
          <cell r="J623">
            <v>208000</v>
          </cell>
          <cell r="Q623">
            <v>24004</v>
          </cell>
        </row>
        <row r="624">
          <cell r="J624">
            <v>94500</v>
          </cell>
        </row>
        <row r="625">
          <cell r="J625">
            <v>219200.00000000003</v>
          </cell>
        </row>
        <row r="626">
          <cell r="J626">
            <v>34450</v>
          </cell>
        </row>
        <row r="627">
          <cell r="J627">
            <v>7300</v>
          </cell>
        </row>
        <row r="628">
          <cell r="J628">
            <v>2340</v>
          </cell>
        </row>
        <row r="629">
          <cell r="J629">
            <v>22226.400000000001</v>
          </cell>
          <cell r="Q629">
            <v>23248</v>
          </cell>
        </row>
        <row r="630">
          <cell r="J630">
            <v>24948</v>
          </cell>
          <cell r="Q630">
            <v>23249</v>
          </cell>
        </row>
        <row r="631">
          <cell r="J631">
            <v>4230</v>
          </cell>
        </row>
        <row r="632">
          <cell r="J632">
            <v>8159.9999999999982</v>
          </cell>
        </row>
        <row r="633">
          <cell r="J633">
            <v>14900</v>
          </cell>
        </row>
        <row r="634">
          <cell r="J634">
            <v>9800</v>
          </cell>
        </row>
        <row r="635">
          <cell r="J635">
            <v>44200</v>
          </cell>
          <cell r="Q635">
            <v>23244</v>
          </cell>
        </row>
        <row r="636">
          <cell r="J636">
            <v>16450</v>
          </cell>
        </row>
        <row r="637">
          <cell r="J637">
            <v>184000</v>
          </cell>
        </row>
        <row r="638">
          <cell r="J638">
            <v>135000</v>
          </cell>
        </row>
        <row r="639">
          <cell r="J639">
            <v>13200</v>
          </cell>
        </row>
        <row r="640">
          <cell r="J640">
            <v>6000</v>
          </cell>
        </row>
        <row r="641">
          <cell r="J641">
            <v>13980</v>
          </cell>
        </row>
        <row r="642">
          <cell r="J642">
            <v>14500</v>
          </cell>
        </row>
        <row r="643">
          <cell r="J643">
            <v>6100</v>
          </cell>
        </row>
        <row r="644">
          <cell r="J644">
            <v>6149.9999999999991</v>
          </cell>
          <cell r="Q644">
            <v>23247</v>
          </cell>
        </row>
        <row r="645">
          <cell r="J645">
            <v>8712</v>
          </cell>
        </row>
        <row r="646">
          <cell r="J646">
            <v>10925</v>
          </cell>
        </row>
        <row r="647">
          <cell r="J647">
            <v>29276.859999999997</v>
          </cell>
        </row>
        <row r="648">
          <cell r="J648">
            <v>13490</v>
          </cell>
        </row>
        <row r="649">
          <cell r="J649">
            <v>16935</v>
          </cell>
        </row>
        <row r="650">
          <cell r="J650">
            <v>10100</v>
          </cell>
        </row>
        <row r="651">
          <cell r="J651">
            <v>135000</v>
          </cell>
        </row>
        <row r="652">
          <cell r="J652">
            <v>4600</v>
          </cell>
        </row>
        <row r="653">
          <cell r="J653">
            <v>11400</v>
          </cell>
        </row>
        <row r="654">
          <cell r="J654">
            <v>5250</v>
          </cell>
        </row>
        <row r="655">
          <cell r="J655">
            <v>2800</v>
          </cell>
        </row>
        <row r="656">
          <cell r="J656">
            <v>3900</v>
          </cell>
        </row>
        <row r="657">
          <cell r="J657">
            <v>4385</v>
          </cell>
        </row>
        <row r="658">
          <cell r="J658">
            <v>4030.0000000000009</v>
          </cell>
        </row>
        <row r="659">
          <cell r="J659">
            <v>10350</v>
          </cell>
        </row>
        <row r="660">
          <cell r="J660">
            <v>2871</v>
          </cell>
        </row>
        <row r="661">
          <cell r="J661">
            <v>350</v>
          </cell>
        </row>
        <row r="662">
          <cell r="J662">
            <v>5010</v>
          </cell>
        </row>
        <row r="663">
          <cell r="J663">
            <v>5637.5</v>
          </cell>
        </row>
        <row r="664">
          <cell r="J664">
            <v>4560</v>
          </cell>
        </row>
        <row r="665">
          <cell r="J665">
            <v>14250</v>
          </cell>
          <cell r="Q665">
            <v>24012</v>
          </cell>
        </row>
        <row r="666">
          <cell r="J666">
            <v>13200</v>
          </cell>
        </row>
        <row r="667">
          <cell r="J667">
            <v>9160</v>
          </cell>
        </row>
        <row r="668">
          <cell r="J668">
            <v>4275</v>
          </cell>
          <cell r="Q668">
            <v>24025</v>
          </cell>
        </row>
        <row r="669">
          <cell r="J669">
            <v>1755</v>
          </cell>
        </row>
        <row r="670">
          <cell r="J670">
            <v>1780</v>
          </cell>
          <cell r="Q670">
            <v>24008</v>
          </cell>
        </row>
        <row r="671">
          <cell r="J671">
            <v>20175</v>
          </cell>
          <cell r="Q671">
            <v>24023</v>
          </cell>
        </row>
        <row r="672">
          <cell r="J672">
            <v>5850</v>
          </cell>
          <cell r="Q672">
            <v>24017</v>
          </cell>
        </row>
        <row r="673">
          <cell r="J673">
            <v>4320</v>
          </cell>
          <cell r="Q673">
            <v>24018</v>
          </cell>
        </row>
        <row r="674">
          <cell r="J674">
            <v>17000</v>
          </cell>
        </row>
        <row r="675">
          <cell r="J675">
            <v>26200</v>
          </cell>
        </row>
        <row r="676">
          <cell r="J676">
            <v>15000</v>
          </cell>
        </row>
        <row r="677">
          <cell r="J677">
            <v>4925</v>
          </cell>
        </row>
        <row r="678">
          <cell r="J678">
            <v>21200</v>
          </cell>
        </row>
        <row r="679">
          <cell r="J679">
            <v>13000</v>
          </cell>
          <cell r="Q679">
            <v>24028</v>
          </cell>
        </row>
        <row r="680">
          <cell r="J680">
            <v>11460</v>
          </cell>
        </row>
        <row r="681">
          <cell r="J681">
            <v>17600</v>
          </cell>
        </row>
        <row r="682">
          <cell r="J682">
            <v>4350</v>
          </cell>
        </row>
        <row r="683">
          <cell r="J683">
            <v>0</v>
          </cell>
        </row>
        <row r="684">
          <cell r="J684">
            <v>7500</v>
          </cell>
          <cell r="Q684">
            <v>24182</v>
          </cell>
        </row>
        <row r="685">
          <cell r="J685">
            <v>3775</v>
          </cell>
        </row>
        <row r="686">
          <cell r="J686">
            <v>25050</v>
          </cell>
          <cell r="Q686">
            <v>24106</v>
          </cell>
        </row>
        <row r="687">
          <cell r="J687">
            <v>23318</v>
          </cell>
          <cell r="Q687">
            <v>24022</v>
          </cell>
        </row>
        <row r="688">
          <cell r="J688">
            <v>8484</v>
          </cell>
        </row>
        <row r="689">
          <cell r="J689">
            <v>23150</v>
          </cell>
        </row>
        <row r="690">
          <cell r="J690">
            <v>70890</v>
          </cell>
        </row>
        <row r="691">
          <cell r="J691">
            <v>5461</v>
          </cell>
          <cell r="Q691">
            <v>24032</v>
          </cell>
        </row>
        <row r="692">
          <cell r="J692">
            <v>10125</v>
          </cell>
        </row>
        <row r="693">
          <cell r="J693">
            <v>23625</v>
          </cell>
          <cell r="Q693">
            <v>24034</v>
          </cell>
        </row>
        <row r="694">
          <cell r="J694">
            <v>39000</v>
          </cell>
          <cell r="Q694">
            <v>24126</v>
          </cell>
        </row>
        <row r="695">
          <cell r="J695">
            <v>44010</v>
          </cell>
          <cell r="Q695">
            <v>24029</v>
          </cell>
        </row>
        <row r="696">
          <cell r="J696">
            <v>37600</v>
          </cell>
        </row>
        <row r="697">
          <cell r="J697">
            <v>7020</v>
          </cell>
        </row>
        <row r="698">
          <cell r="J698">
            <v>0</v>
          </cell>
        </row>
        <row r="699">
          <cell r="J699">
            <v>6900</v>
          </cell>
          <cell r="Q699">
            <v>24027</v>
          </cell>
        </row>
        <row r="700">
          <cell r="J700">
            <v>11610</v>
          </cell>
        </row>
        <row r="701">
          <cell r="J701">
            <v>8670</v>
          </cell>
        </row>
        <row r="702">
          <cell r="J702">
            <v>0</v>
          </cell>
        </row>
        <row r="703">
          <cell r="J703">
            <v>22230</v>
          </cell>
          <cell r="Q703">
            <v>24057</v>
          </cell>
        </row>
        <row r="704">
          <cell r="J704">
            <v>3450.0000000000005</v>
          </cell>
        </row>
        <row r="705">
          <cell r="J705">
            <v>5700</v>
          </cell>
        </row>
        <row r="706">
          <cell r="J706">
            <v>2770</v>
          </cell>
        </row>
        <row r="707">
          <cell r="J707">
            <v>29800</v>
          </cell>
          <cell r="Q707">
            <v>24036</v>
          </cell>
        </row>
        <row r="708">
          <cell r="J708">
            <v>9500</v>
          </cell>
        </row>
        <row r="709">
          <cell r="J709">
            <v>73700</v>
          </cell>
        </row>
        <row r="710">
          <cell r="J710">
            <v>92400</v>
          </cell>
        </row>
        <row r="711">
          <cell r="J711">
            <v>3700</v>
          </cell>
        </row>
        <row r="712">
          <cell r="J712">
            <v>3900</v>
          </cell>
        </row>
        <row r="713">
          <cell r="J713">
            <v>2640</v>
          </cell>
          <cell r="Q713">
            <v>24024</v>
          </cell>
        </row>
        <row r="714">
          <cell r="J714">
            <v>1905</v>
          </cell>
          <cell r="Q714">
            <v>24024</v>
          </cell>
        </row>
        <row r="715">
          <cell r="J715">
            <v>4800</v>
          </cell>
        </row>
        <row r="716">
          <cell r="J716">
            <v>11000</v>
          </cell>
        </row>
        <row r="717">
          <cell r="J717">
            <v>15900</v>
          </cell>
        </row>
        <row r="718">
          <cell r="J718">
            <v>48000</v>
          </cell>
        </row>
        <row r="719">
          <cell r="J719">
            <v>60000</v>
          </cell>
        </row>
        <row r="720">
          <cell r="J720">
            <v>5050</v>
          </cell>
        </row>
        <row r="721">
          <cell r="J721">
            <v>10200</v>
          </cell>
        </row>
        <row r="722">
          <cell r="J722">
            <v>17600</v>
          </cell>
          <cell r="Q722">
            <v>24060</v>
          </cell>
        </row>
        <row r="723">
          <cell r="J723">
            <v>7220</v>
          </cell>
          <cell r="Q723">
            <v>24046</v>
          </cell>
        </row>
        <row r="724">
          <cell r="J724">
            <v>26455</v>
          </cell>
        </row>
        <row r="725">
          <cell r="J725">
            <v>6241.1</v>
          </cell>
        </row>
        <row r="726">
          <cell r="J726">
            <v>7160</v>
          </cell>
        </row>
        <row r="727">
          <cell r="J727">
            <v>25350</v>
          </cell>
        </row>
        <row r="728">
          <cell r="J728">
            <v>25000</v>
          </cell>
        </row>
        <row r="729">
          <cell r="J729">
            <v>3200</v>
          </cell>
        </row>
        <row r="730">
          <cell r="J730">
            <v>1750</v>
          </cell>
        </row>
        <row r="731">
          <cell r="J731">
            <v>7665</v>
          </cell>
        </row>
        <row r="732">
          <cell r="J732">
            <v>111300</v>
          </cell>
        </row>
        <row r="733">
          <cell r="J733">
            <v>200</v>
          </cell>
        </row>
        <row r="734">
          <cell r="J734">
            <v>16350</v>
          </cell>
          <cell r="Q734">
            <v>24047</v>
          </cell>
        </row>
        <row r="735">
          <cell r="J735">
            <v>31320</v>
          </cell>
        </row>
        <row r="736">
          <cell r="J736">
            <v>76375</v>
          </cell>
          <cell r="Q736">
            <v>24044</v>
          </cell>
        </row>
        <row r="737">
          <cell r="J737">
            <v>20250</v>
          </cell>
        </row>
        <row r="738">
          <cell r="J738">
            <v>18687.5</v>
          </cell>
        </row>
        <row r="739">
          <cell r="J739">
            <v>55679.999999999993</v>
          </cell>
        </row>
        <row r="740">
          <cell r="J740">
            <v>48000</v>
          </cell>
        </row>
        <row r="741">
          <cell r="J741">
            <v>4850</v>
          </cell>
        </row>
        <row r="742">
          <cell r="J742">
            <v>122150</v>
          </cell>
          <cell r="Q742">
            <v>24074</v>
          </cell>
        </row>
        <row r="743">
          <cell r="J743">
            <v>7500</v>
          </cell>
        </row>
        <row r="744">
          <cell r="J744">
            <v>5250</v>
          </cell>
        </row>
        <row r="745">
          <cell r="J745">
            <v>6060</v>
          </cell>
        </row>
        <row r="746">
          <cell r="J746">
            <v>9090</v>
          </cell>
        </row>
        <row r="747">
          <cell r="J747">
            <v>5400</v>
          </cell>
        </row>
        <row r="748">
          <cell r="J748">
            <v>13280</v>
          </cell>
          <cell r="Q748">
            <v>24059</v>
          </cell>
        </row>
        <row r="749">
          <cell r="J749">
            <v>5925</v>
          </cell>
        </row>
        <row r="750">
          <cell r="J750">
            <v>3470</v>
          </cell>
        </row>
        <row r="751">
          <cell r="J751">
            <v>6150</v>
          </cell>
          <cell r="Q751">
            <v>24105</v>
          </cell>
        </row>
        <row r="752">
          <cell r="J752">
            <v>3255</v>
          </cell>
        </row>
        <row r="753">
          <cell r="J753">
            <v>2880</v>
          </cell>
          <cell r="Q753">
            <v>24041</v>
          </cell>
        </row>
        <row r="754">
          <cell r="J754">
            <v>2838</v>
          </cell>
        </row>
        <row r="755">
          <cell r="J755">
            <v>23517</v>
          </cell>
        </row>
        <row r="756">
          <cell r="J756">
            <v>6600</v>
          </cell>
          <cell r="Q756">
            <v>24070</v>
          </cell>
        </row>
        <row r="757">
          <cell r="J757">
            <v>12050</v>
          </cell>
        </row>
        <row r="758">
          <cell r="J758">
            <v>3680</v>
          </cell>
        </row>
        <row r="759">
          <cell r="J759">
            <v>9300</v>
          </cell>
        </row>
        <row r="760">
          <cell r="J760">
            <v>5062.5</v>
          </cell>
          <cell r="Q760">
            <v>24052</v>
          </cell>
        </row>
        <row r="761">
          <cell r="J761">
            <v>3375</v>
          </cell>
        </row>
        <row r="762">
          <cell r="J762">
            <v>975</v>
          </cell>
        </row>
        <row r="763">
          <cell r="J763">
            <v>3592</v>
          </cell>
          <cell r="Q763">
            <v>24053</v>
          </cell>
        </row>
        <row r="764">
          <cell r="J764">
            <v>5050</v>
          </cell>
          <cell r="Q764">
            <v>24056</v>
          </cell>
        </row>
        <row r="765">
          <cell r="J765">
            <v>4336.5</v>
          </cell>
        </row>
        <row r="766">
          <cell r="J766">
            <v>12160</v>
          </cell>
          <cell r="Q766">
            <v>24050</v>
          </cell>
        </row>
        <row r="767">
          <cell r="J767">
            <v>1775</v>
          </cell>
        </row>
        <row r="768">
          <cell r="J768">
            <v>4100</v>
          </cell>
        </row>
        <row r="769">
          <cell r="J769">
            <v>10684.8</v>
          </cell>
        </row>
        <row r="770">
          <cell r="J770">
            <v>5625</v>
          </cell>
        </row>
        <row r="771">
          <cell r="J771">
            <v>7725.0000000000018</v>
          </cell>
        </row>
        <row r="772">
          <cell r="J772">
            <v>6890</v>
          </cell>
          <cell r="Q772">
            <v>24055</v>
          </cell>
        </row>
        <row r="773">
          <cell r="J773">
            <v>8214</v>
          </cell>
          <cell r="Q773">
            <v>24092</v>
          </cell>
        </row>
        <row r="774">
          <cell r="J774">
            <v>18265</v>
          </cell>
          <cell r="Q774">
            <v>24093</v>
          </cell>
        </row>
        <row r="775">
          <cell r="J775">
            <v>14549.999999999998</v>
          </cell>
        </row>
        <row r="776">
          <cell r="J776">
            <v>16960</v>
          </cell>
        </row>
        <row r="777">
          <cell r="J777">
            <v>10980</v>
          </cell>
        </row>
        <row r="778">
          <cell r="J778">
            <v>10700</v>
          </cell>
        </row>
        <row r="779">
          <cell r="J779">
            <v>7800</v>
          </cell>
        </row>
        <row r="780">
          <cell r="J780">
            <v>28050</v>
          </cell>
        </row>
        <row r="781">
          <cell r="J781">
            <v>13900</v>
          </cell>
          <cell r="Q781">
            <v>24073</v>
          </cell>
        </row>
        <row r="782">
          <cell r="J782">
            <v>4460</v>
          </cell>
        </row>
        <row r="783">
          <cell r="J783">
            <v>8100</v>
          </cell>
        </row>
        <row r="784">
          <cell r="J784">
            <v>54000</v>
          </cell>
        </row>
        <row r="785">
          <cell r="J785">
            <v>34750</v>
          </cell>
          <cell r="Q785">
            <v>24054</v>
          </cell>
        </row>
        <row r="786">
          <cell r="J786">
            <v>1750</v>
          </cell>
        </row>
        <row r="787">
          <cell r="J787">
            <v>5730</v>
          </cell>
        </row>
        <row r="788">
          <cell r="J788">
            <v>8850</v>
          </cell>
        </row>
        <row r="789">
          <cell r="J789">
            <v>16160</v>
          </cell>
        </row>
        <row r="790">
          <cell r="J790">
            <v>7400</v>
          </cell>
        </row>
        <row r="791">
          <cell r="J791">
            <v>8800</v>
          </cell>
        </row>
        <row r="792">
          <cell r="J792">
            <v>9000</v>
          </cell>
        </row>
        <row r="793">
          <cell r="J793">
            <v>6700</v>
          </cell>
        </row>
        <row r="794">
          <cell r="J794">
            <v>16000</v>
          </cell>
        </row>
        <row r="795">
          <cell r="J795">
            <v>6070</v>
          </cell>
        </row>
        <row r="796">
          <cell r="J796">
            <v>8950</v>
          </cell>
          <cell r="Q796">
            <v>24058</v>
          </cell>
        </row>
        <row r="797">
          <cell r="J797">
            <v>2600</v>
          </cell>
          <cell r="Q797">
            <v>24076</v>
          </cell>
        </row>
        <row r="798">
          <cell r="J798">
            <v>7085</v>
          </cell>
        </row>
        <row r="799">
          <cell r="J799">
            <v>23188</v>
          </cell>
        </row>
        <row r="800">
          <cell r="J800">
            <v>26908</v>
          </cell>
        </row>
        <row r="801">
          <cell r="J801">
            <v>2850</v>
          </cell>
        </row>
        <row r="802">
          <cell r="J802">
            <v>0</v>
          </cell>
        </row>
        <row r="803">
          <cell r="J803">
            <v>8341</v>
          </cell>
        </row>
        <row r="804">
          <cell r="J804">
            <v>14925</v>
          </cell>
        </row>
        <row r="805">
          <cell r="J805">
            <v>6480</v>
          </cell>
        </row>
        <row r="806">
          <cell r="J806">
            <v>19131.599999999999</v>
          </cell>
          <cell r="Q806">
            <v>24063</v>
          </cell>
        </row>
        <row r="807">
          <cell r="J807">
            <v>93780.5</v>
          </cell>
          <cell r="Q807">
            <v>21064</v>
          </cell>
        </row>
        <row r="808">
          <cell r="J808">
            <v>13884</v>
          </cell>
          <cell r="Q808">
            <v>21064</v>
          </cell>
        </row>
        <row r="809">
          <cell r="J809">
            <v>14978.4</v>
          </cell>
          <cell r="Q809">
            <v>24062</v>
          </cell>
        </row>
        <row r="810">
          <cell r="J810">
            <v>18950</v>
          </cell>
        </row>
        <row r="811">
          <cell r="J811">
            <v>8655</v>
          </cell>
        </row>
        <row r="812">
          <cell r="J812">
            <v>43250</v>
          </cell>
          <cell r="Q812">
            <v>24078</v>
          </cell>
        </row>
        <row r="813">
          <cell r="J813">
            <v>9690</v>
          </cell>
        </row>
        <row r="814">
          <cell r="J814">
            <v>9225</v>
          </cell>
        </row>
        <row r="815">
          <cell r="J815">
            <v>6420</v>
          </cell>
        </row>
        <row r="816">
          <cell r="J816">
            <v>24450</v>
          </cell>
        </row>
        <row r="817">
          <cell r="J817">
            <v>8600</v>
          </cell>
          <cell r="Q817">
            <v>24079</v>
          </cell>
        </row>
        <row r="818">
          <cell r="J818">
            <v>6075</v>
          </cell>
        </row>
        <row r="819">
          <cell r="J819">
            <v>5760</v>
          </cell>
          <cell r="Q819">
            <v>24080</v>
          </cell>
        </row>
        <row r="820">
          <cell r="J820">
            <v>23530</v>
          </cell>
        </row>
        <row r="821">
          <cell r="J821">
            <v>3300</v>
          </cell>
          <cell r="Q821">
            <v>24086</v>
          </cell>
        </row>
        <row r="822">
          <cell r="J822">
            <v>309000</v>
          </cell>
          <cell r="Q822">
            <v>24209</v>
          </cell>
        </row>
        <row r="823">
          <cell r="J823">
            <v>12225</v>
          </cell>
          <cell r="Q823">
            <v>24061</v>
          </cell>
        </row>
        <row r="824">
          <cell r="J824">
            <v>1060</v>
          </cell>
        </row>
        <row r="825">
          <cell r="J825">
            <v>4025</v>
          </cell>
        </row>
        <row r="826">
          <cell r="J826">
            <v>1080</v>
          </cell>
        </row>
        <row r="827">
          <cell r="J827">
            <v>6250</v>
          </cell>
        </row>
        <row r="828">
          <cell r="J828">
            <v>3980</v>
          </cell>
        </row>
        <row r="829">
          <cell r="J829">
            <v>4600</v>
          </cell>
          <cell r="Q829">
            <v>24072</v>
          </cell>
        </row>
        <row r="830">
          <cell r="J830">
            <v>3275</v>
          </cell>
        </row>
        <row r="831">
          <cell r="J831">
            <v>5616</v>
          </cell>
        </row>
        <row r="832">
          <cell r="J832">
            <v>11940</v>
          </cell>
        </row>
        <row r="833">
          <cell r="J833">
            <v>5925</v>
          </cell>
          <cell r="Q833">
            <v>24038</v>
          </cell>
        </row>
        <row r="834">
          <cell r="J834">
            <v>54750</v>
          </cell>
          <cell r="Q834">
            <v>24075</v>
          </cell>
        </row>
        <row r="835">
          <cell r="J835">
            <v>760</v>
          </cell>
          <cell r="Q835">
            <v>24069</v>
          </cell>
        </row>
        <row r="836">
          <cell r="J836">
            <v>14575</v>
          </cell>
        </row>
        <row r="837">
          <cell r="J837">
            <v>4000</v>
          </cell>
        </row>
        <row r="838">
          <cell r="J838">
            <v>3350</v>
          </cell>
        </row>
        <row r="839">
          <cell r="J839">
            <v>13164.5</v>
          </cell>
        </row>
        <row r="840">
          <cell r="J840">
            <v>18375</v>
          </cell>
          <cell r="Q840">
            <v>24073</v>
          </cell>
        </row>
        <row r="841">
          <cell r="J841">
            <v>3900</v>
          </cell>
          <cell r="Q841">
            <v>24071</v>
          </cell>
        </row>
        <row r="842">
          <cell r="J842">
            <v>5280</v>
          </cell>
        </row>
        <row r="843">
          <cell r="J843">
            <v>5320</v>
          </cell>
        </row>
        <row r="844">
          <cell r="J844">
            <v>5280</v>
          </cell>
        </row>
        <row r="845">
          <cell r="J845">
            <v>5960</v>
          </cell>
        </row>
        <row r="846">
          <cell r="J846">
            <v>25550</v>
          </cell>
        </row>
        <row r="847">
          <cell r="J847">
            <v>21900</v>
          </cell>
        </row>
        <row r="848">
          <cell r="J848">
            <v>3840</v>
          </cell>
        </row>
        <row r="849">
          <cell r="J849">
            <v>19500</v>
          </cell>
        </row>
        <row r="850">
          <cell r="J850">
            <v>44916</v>
          </cell>
        </row>
        <row r="851">
          <cell r="J851">
            <v>42420</v>
          </cell>
          <cell r="Q851">
            <v>24177</v>
          </cell>
        </row>
        <row r="852">
          <cell r="J852">
            <v>8662.5</v>
          </cell>
          <cell r="Q852">
            <v>24139</v>
          </cell>
        </row>
        <row r="853">
          <cell r="J853">
            <v>85358.000000000015</v>
          </cell>
          <cell r="Q853">
            <v>24114</v>
          </cell>
        </row>
        <row r="854">
          <cell r="J854">
            <v>44945</v>
          </cell>
        </row>
        <row r="855">
          <cell r="J855">
            <v>7150</v>
          </cell>
        </row>
        <row r="856">
          <cell r="J856">
            <v>87710</v>
          </cell>
          <cell r="Q856">
            <v>24115</v>
          </cell>
        </row>
        <row r="857">
          <cell r="J857">
            <v>5060</v>
          </cell>
        </row>
        <row r="858">
          <cell r="J858">
            <v>2002</v>
          </cell>
        </row>
        <row r="859">
          <cell r="J859">
            <v>17375</v>
          </cell>
          <cell r="Q859">
            <v>24128</v>
          </cell>
        </row>
        <row r="860">
          <cell r="J860">
            <v>47940</v>
          </cell>
        </row>
        <row r="861">
          <cell r="J861">
            <v>39900</v>
          </cell>
          <cell r="Q861">
            <v>24107</v>
          </cell>
        </row>
        <row r="862">
          <cell r="J862">
            <v>5000</v>
          </cell>
          <cell r="Q862">
            <v>24077</v>
          </cell>
        </row>
        <row r="863">
          <cell r="J863">
            <v>14600</v>
          </cell>
        </row>
        <row r="864">
          <cell r="J864">
            <v>3200</v>
          </cell>
          <cell r="Q864">
            <v>24090</v>
          </cell>
        </row>
        <row r="865">
          <cell r="J865">
            <v>0</v>
          </cell>
        </row>
        <row r="866">
          <cell r="J866">
            <v>99960</v>
          </cell>
          <cell r="Q866">
            <v>24097</v>
          </cell>
        </row>
        <row r="867">
          <cell r="J867">
            <v>6550</v>
          </cell>
        </row>
        <row r="868">
          <cell r="J868">
            <v>3700</v>
          </cell>
        </row>
        <row r="869">
          <cell r="J869">
            <v>4200</v>
          </cell>
        </row>
        <row r="870">
          <cell r="J870">
            <v>6660.0000000000009</v>
          </cell>
        </row>
        <row r="871">
          <cell r="J871">
            <v>10320</v>
          </cell>
        </row>
        <row r="872">
          <cell r="J872">
            <v>9200</v>
          </cell>
          <cell r="Q872">
            <v>24088</v>
          </cell>
        </row>
        <row r="873">
          <cell r="J873">
            <v>4600</v>
          </cell>
        </row>
        <row r="874">
          <cell r="J874">
            <v>3060</v>
          </cell>
        </row>
        <row r="875">
          <cell r="J875">
            <v>391000</v>
          </cell>
          <cell r="Q875">
            <v>24127</v>
          </cell>
        </row>
        <row r="876">
          <cell r="J876">
            <v>20500</v>
          </cell>
        </row>
        <row r="877">
          <cell r="J877">
            <v>13500</v>
          </cell>
        </row>
        <row r="878">
          <cell r="J878">
            <v>22150</v>
          </cell>
        </row>
        <row r="879">
          <cell r="J879">
            <v>6120</v>
          </cell>
        </row>
        <row r="880">
          <cell r="J880">
            <v>5500</v>
          </cell>
        </row>
        <row r="881">
          <cell r="J881">
            <v>76080</v>
          </cell>
        </row>
        <row r="882">
          <cell r="J882">
            <v>3120</v>
          </cell>
          <cell r="Q882">
            <v>24084</v>
          </cell>
        </row>
        <row r="883">
          <cell r="J883">
            <v>30220</v>
          </cell>
          <cell r="Q883">
            <v>24100</v>
          </cell>
        </row>
        <row r="884">
          <cell r="J884">
            <v>11090</v>
          </cell>
          <cell r="Q884">
            <v>24100</v>
          </cell>
        </row>
        <row r="885">
          <cell r="J885">
            <v>5959</v>
          </cell>
        </row>
        <row r="886">
          <cell r="J886">
            <v>7920</v>
          </cell>
        </row>
        <row r="887">
          <cell r="J887">
            <v>5400</v>
          </cell>
        </row>
        <row r="888">
          <cell r="J888">
            <v>37200</v>
          </cell>
        </row>
        <row r="889">
          <cell r="J889">
            <v>12600</v>
          </cell>
          <cell r="Q889">
            <v>24091</v>
          </cell>
        </row>
        <row r="890">
          <cell r="J890">
            <v>13900</v>
          </cell>
          <cell r="Q890">
            <v>24154</v>
          </cell>
        </row>
        <row r="891">
          <cell r="J891">
            <v>3000</v>
          </cell>
          <cell r="Q891">
            <v>25050</v>
          </cell>
        </row>
        <row r="892">
          <cell r="J892">
            <v>11000</v>
          </cell>
          <cell r="Q892">
            <v>24110</v>
          </cell>
        </row>
        <row r="893">
          <cell r="J893">
            <v>17775</v>
          </cell>
          <cell r="Q893">
            <v>24111</v>
          </cell>
        </row>
        <row r="894">
          <cell r="J894">
            <v>13710</v>
          </cell>
          <cell r="Q894">
            <v>24085</v>
          </cell>
        </row>
        <row r="895">
          <cell r="J895">
            <v>1995</v>
          </cell>
          <cell r="Q895">
            <v>24191</v>
          </cell>
        </row>
        <row r="896">
          <cell r="J896">
            <v>16574.400000000001</v>
          </cell>
          <cell r="Q896">
            <v>24098</v>
          </cell>
        </row>
        <row r="897">
          <cell r="J897">
            <v>24600</v>
          </cell>
          <cell r="Q897">
            <v>24151</v>
          </cell>
        </row>
        <row r="898">
          <cell r="J898">
            <v>28349.999999999996</v>
          </cell>
        </row>
        <row r="899">
          <cell r="J899">
            <v>29315</v>
          </cell>
          <cell r="Q899">
            <v>24113</v>
          </cell>
        </row>
        <row r="900">
          <cell r="J900">
            <v>12128</v>
          </cell>
        </row>
        <row r="901">
          <cell r="J901">
            <v>1408</v>
          </cell>
        </row>
        <row r="902">
          <cell r="J902">
            <v>1656.96</v>
          </cell>
        </row>
        <row r="903">
          <cell r="J903">
            <v>940</v>
          </cell>
        </row>
        <row r="904">
          <cell r="J904">
            <v>12988.8</v>
          </cell>
          <cell r="Q904">
            <v>24096</v>
          </cell>
        </row>
        <row r="905">
          <cell r="J905">
            <v>3820</v>
          </cell>
        </row>
        <row r="906">
          <cell r="J906">
            <v>4500</v>
          </cell>
        </row>
        <row r="907">
          <cell r="J907">
            <v>34321.300000000003</v>
          </cell>
          <cell r="Q907">
            <v>24101</v>
          </cell>
        </row>
        <row r="908">
          <cell r="J908">
            <v>4200</v>
          </cell>
          <cell r="Q908">
            <v>24102</v>
          </cell>
        </row>
        <row r="909">
          <cell r="J909">
            <v>10430</v>
          </cell>
        </row>
        <row r="910">
          <cell r="J910">
            <v>10250</v>
          </cell>
        </row>
        <row r="911">
          <cell r="J911">
            <v>25512.5</v>
          </cell>
        </row>
        <row r="912">
          <cell r="J912">
            <v>9344</v>
          </cell>
          <cell r="Q912">
            <v>24099</v>
          </cell>
        </row>
        <row r="913">
          <cell r="J913">
            <v>7470</v>
          </cell>
        </row>
        <row r="914">
          <cell r="J914">
            <v>38500</v>
          </cell>
        </row>
        <row r="915">
          <cell r="J915">
            <v>50520</v>
          </cell>
          <cell r="Q915">
            <v>24137</v>
          </cell>
        </row>
        <row r="916">
          <cell r="J916">
            <v>5970</v>
          </cell>
        </row>
        <row r="917">
          <cell r="J917">
            <v>2775.5</v>
          </cell>
          <cell r="Q917">
            <v>24155</v>
          </cell>
        </row>
        <row r="918">
          <cell r="J918">
            <v>23870</v>
          </cell>
          <cell r="Q918">
            <v>24155</v>
          </cell>
        </row>
        <row r="919">
          <cell r="J919">
            <v>2400</v>
          </cell>
        </row>
        <row r="920">
          <cell r="J920">
            <v>8850</v>
          </cell>
          <cell r="Q920">
            <v>24121</v>
          </cell>
        </row>
        <row r="921">
          <cell r="J921">
            <v>4080</v>
          </cell>
          <cell r="Q921">
            <v>24104</v>
          </cell>
        </row>
        <row r="922">
          <cell r="J922">
            <v>2700</v>
          </cell>
        </row>
        <row r="923">
          <cell r="J923">
            <v>4640</v>
          </cell>
        </row>
        <row r="924">
          <cell r="J924">
            <v>38700</v>
          </cell>
          <cell r="Q924">
            <v>25066</v>
          </cell>
        </row>
        <row r="925">
          <cell r="J925">
            <v>7520</v>
          </cell>
        </row>
        <row r="926">
          <cell r="J926">
            <v>23400</v>
          </cell>
        </row>
        <row r="927">
          <cell r="J927">
            <v>52012.5</v>
          </cell>
          <cell r="Q927">
            <v>24132</v>
          </cell>
        </row>
        <row r="928">
          <cell r="J928">
            <v>15000</v>
          </cell>
          <cell r="Q928">
            <v>24132</v>
          </cell>
        </row>
        <row r="929">
          <cell r="J929">
            <v>19160</v>
          </cell>
          <cell r="Q929">
            <v>24132</v>
          </cell>
        </row>
        <row r="930">
          <cell r="J930">
            <v>0</v>
          </cell>
        </row>
        <row r="931">
          <cell r="J931">
            <v>1575000</v>
          </cell>
        </row>
        <row r="932">
          <cell r="J932">
            <v>0</v>
          </cell>
        </row>
        <row r="933">
          <cell r="J933">
            <v>13700.000000000002</v>
          </cell>
        </row>
        <row r="934">
          <cell r="J934">
            <v>1720</v>
          </cell>
        </row>
        <row r="935">
          <cell r="J935">
            <v>7425</v>
          </cell>
          <cell r="Q935">
            <v>24129</v>
          </cell>
        </row>
        <row r="936">
          <cell r="J936">
            <v>52430</v>
          </cell>
        </row>
        <row r="937">
          <cell r="J937">
            <v>47100</v>
          </cell>
        </row>
        <row r="938">
          <cell r="J938">
            <v>3600</v>
          </cell>
          <cell r="Q938">
            <v>24119</v>
          </cell>
        </row>
        <row r="939">
          <cell r="J939">
            <v>7150</v>
          </cell>
          <cell r="Q939">
            <v>24118</v>
          </cell>
        </row>
        <row r="940">
          <cell r="J940">
            <v>70000</v>
          </cell>
          <cell r="Q940">
            <v>24117</v>
          </cell>
        </row>
        <row r="941">
          <cell r="J941">
            <v>4785</v>
          </cell>
          <cell r="Q941">
            <v>24118</v>
          </cell>
        </row>
        <row r="942">
          <cell r="J942">
            <v>6735</v>
          </cell>
        </row>
        <row r="943">
          <cell r="J943">
            <v>2860</v>
          </cell>
        </row>
        <row r="944">
          <cell r="J944">
            <v>18375</v>
          </cell>
          <cell r="Q944">
            <v>24125</v>
          </cell>
        </row>
        <row r="945">
          <cell r="J945">
            <v>68390</v>
          </cell>
        </row>
        <row r="946">
          <cell r="J946">
            <v>15840</v>
          </cell>
        </row>
        <row r="947">
          <cell r="J947">
            <v>43200</v>
          </cell>
        </row>
        <row r="948">
          <cell r="J948">
            <v>15200</v>
          </cell>
        </row>
        <row r="949">
          <cell r="J949">
            <v>14880</v>
          </cell>
        </row>
        <row r="950">
          <cell r="J950">
            <v>0</v>
          </cell>
        </row>
        <row r="951">
          <cell r="J951">
            <v>7570</v>
          </cell>
          <cell r="Q951">
            <v>24143</v>
          </cell>
        </row>
        <row r="952">
          <cell r="J952">
            <v>0</v>
          </cell>
        </row>
        <row r="953">
          <cell r="J953">
            <v>819.99999999999989</v>
          </cell>
          <cell r="Q953">
            <v>24188</v>
          </cell>
        </row>
        <row r="954">
          <cell r="J954">
            <v>39000</v>
          </cell>
          <cell r="Q954">
            <v>24153</v>
          </cell>
        </row>
        <row r="955">
          <cell r="J955">
            <v>3060</v>
          </cell>
          <cell r="Q955">
            <v>24145</v>
          </cell>
        </row>
        <row r="956">
          <cell r="J956">
            <v>13875</v>
          </cell>
          <cell r="Q956">
            <v>24244</v>
          </cell>
        </row>
        <row r="957">
          <cell r="J957">
            <v>4500</v>
          </cell>
          <cell r="Q957">
            <v>24133</v>
          </cell>
        </row>
        <row r="958">
          <cell r="J958">
            <v>13050</v>
          </cell>
          <cell r="Q958">
            <v>24166</v>
          </cell>
        </row>
        <row r="959">
          <cell r="J959">
            <v>19440</v>
          </cell>
        </row>
        <row r="960">
          <cell r="J960">
            <v>49300</v>
          </cell>
        </row>
        <row r="961">
          <cell r="J961">
            <v>209364</v>
          </cell>
        </row>
        <row r="962">
          <cell r="J962">
            <v>4200</v>
          </cell>
        </row>
        <row r="963">
          <cell r="J963">
            <v>106590</v>
          </cell>
          <cell r="Q963">
            <v>24136</v>
          </cell>
        </row>
        <row r="964">
          <cell r="J964">
            <v>4377.6000000000004</v>
          </cell>
          <cell r="Q964">
            <v>24131</v>
          </cell>
        </row>
        <row r="965">
          <cell r="J965">
            <v>6400</v>
          </cell>
        </row>
        <row r="966">
          <cell r="J966">
            <v>3040</v>
          </cell>
        </row>
        <row r="967">
          <cell r="J967">
            <v>10720</v>
          </cell>
        </row>
        <row r="968">
          <cell r="J968">
            <v>40385</v>
          </cell>
        </row>
        <row r="969">
          <cell r="J969">
            <v>38688</v>
          </cell>
          <cell r="Q969">
            <v>24146</v>
          </cell>
        </row>
        <row r="970">
          <cell r="J970">
            <v>13020</v>
          </cell>
        </row>
        <row r="971">
          <cell r="J971">
            <v>18990</v>
          </cell>
          <cell r="Q971">
            <v>24138</v>
          </cell>
        </row>
        <row r="972">
          <cell r="J972">
            <v>2962.5</v>
          </cell>
          <cell r="Q972">
            <v>24134</v>
          </cell>
        </row>
        <row r="973">
          <cell r="J973">
            <v>10300</v>
          </cell>
        </row>
        <row r="974">
          <cell r="J974">
            <v>15950</v>
          </cell>
        </row>
        <row r="975">
          <cell r="J975">
            <v>14660</v>
          </cell>
        </row>
        <row r="976">
          <cell r="J976">
            <v>9450</v>
          </cell>
        </row>
        <row r="977">
          <cell r="J977">
            <v>17700</v>
          </cell>
        </row>
        <row r="978">
          <cell r="J978">
            <v>103740</v>
          </cell>
        </row>
        <row r="979">
          <cell r="J979">
            <v>91560</v>
          </cell>
        </row>
        <row r="980">
          <cell r="J980">
            <v>3550</v>
          </cell>
        </row>
        <row r="981">
          <cell r="J981">
            <v>16650</v>
          </cell>
        </row>
        <row r="982">
          <cell r="J982">
            <v>18950</v>
          </cell>
        </row>
        <row r="983">
          <cell r="J983">
            <v>35100</v>
          </cell>
        </row>
        <row r="984">
          <cell r="J984">
            <v>42600</v>
          </cell>
        </row>
        <row r="985">
          <cell r="J985">
            <v>6200</v>
          </cell>
        </row>
        <row r="986">
          <cell r="J986">
            <v>8372</v>
          </cell>
          <cell r="Q986">
            <v>24135</v>
          </cell>
        </row>
        <row r="987">
          <cell r="J987">
            <v>120373</v>
          </cell>
        </row>
        <row r="988">
          <cell r="J988">
            <v>7440.0000000000018</v>
          </cell>
        </row>
        <row r="989">
          <cell r="J989">
            <v>690</v>
          </cell>
        </row>
        <row r="990">
          <cell r="J990">
            <v>35700</v>
          </cell>
        </row>
        <row r="991">
          <cell r="J991">
            <v>5427</v>
          </cell>
        </row>
        <row r="992">
          <cell r="J992">
            <v>71550</v>
          </cell>
        </row>
        <row r="993">
          <cell r="J993">
            <v>9336</v>
          </cell>
          <cell r="Q993">
            <v>24162</v>
          </cell>
        </row>
        <row r="994">
          <cell r="J994">
            <v>12300</v>
          </cell>
        </row>
        <row r="995">
          <cell r="J995">
            <v>51300</v>
          </cell>
        </row>
        <row r="996">
          <cell r="J996">
            <v>16200.000000000002</v>
          </cell>
        </row>
        <row r="997">
          <cell r="J997">
            <v>39500</v>
          </cell>
          <cell r="Q997">
            <v>24147</v>
          </cell>
        </row>
        <row r="998">
          <cell r="J998">
            <v>44100</v>
          </cell>
        </row>
        <row r="999">
          <cell r="J999">
            <v>9100</v>
          </cell>
        </row>
        <row r="1000">
          <cell r="J1000">
            <v>52400</v>
          </cell>
        </row>
        <row r="1001">
          <cell r="J1001">
            <v>6258</v>
          </cell>
        </row>
        <row r="1002">
          <cell r="J1002">
            <v>7244</v>
          </cell>
        </row>
        <row r="1003">
          <cell r="J1003">
            <v>60320.000000000007</v>
          </cell>
          <cell r="Q1003">
            <v>24194</v>
          </cell>
        </row>
        <row r="1004">
          <cell r="J1004">
            <v>7380</v>
          </cell>
          <cell r="Q1004">
            <v>24180</v>
          </cell>
        </row>
        <row r="1005">
          <cell r="J1005">
            <v>16920</v>
          </cell>
        </row>
        <row r="1006">
          <cell r="J1006">
            <v>13600</v>
          </cell>
        </row>
        <row r="1007">
          <cell r="J1007">
            <v>61000</v>
          </cell>
        </row>
        <row r="1008">
          <cell r="J1008">
            <v>61750</v>
          </cell>
        </row>
        <row r="1009">
          <cell r="J1009">
            <v>3290</v>
          </cell>
        </row>
        <row r="1010">
          <cell r="J1010">
            <v>27050</v>
          </cell>
          <cell r="Q1010">
            <v>24157</v>
          </cell>
        </row>
        <row r="1011">
          <cell r="J1011">
            <v>5700</v>
          </cell>
        </row>
        <row r="1012">
          <cell r="J1012">
            <v>19484.5</v>
          </cell>
        </row>
        <row r="1013">
          <cell r="J1013">
            <v>12256.88</v>
          </cell>
        </row>
        <row r="1014">
          <cell r="J1014">
            <v>5490</v>
          </cell>
        </row>
        <row r="1015">
          <cell r="J1015">
            <v>20745</v>
          </cell>
          <cell r="Q1015">
            <v>24145</v>
          </cell>
        </row>
        <row r="1016">
          <cell r="J1016">
            <v>15180</v>
          </cell>
        </row>
        <row r="1017">
          <cell r="J1017">
            <v>18420</v>
          </cell>
          <cell r="Q1017">
            <v>24144</v>
          </cell>
        </row>
        <row r="1018">
          <cell r="J1018">
            <v>4975</v>
          </cell>
        </row>
        <row r="1019">
          <cell r="J1019">
            <v>48825</v>
          </cell>
        </row>
        <row r="1020">
          <cell r="J1020">
            <v>23000</v>
          </cell>
        </row>
        <row r="1021">
          <cell r="J1021">
            <v>7049.87</v>
          </cell>
        </row>
        <row r="1022">
          <cell r="J1022">
            <v>47601</v>
          </cell>
          <cell r="Q1022">
            <v>24142</v>
          </cell>
        </row>
        <row r="1023">
          <cell r="J1023">
            <v>26679.999999999996</v>
          </cell>
        </row>
        <row r="1024">
          <cell r="J1024">
            <v>39606</v>
          </cell>
          <cell r="Q1024">
            <v>24141</v>
          </cell>
        </row>
        <row r="1025">
          <cell r="J1025">
            <v>10000</v>
          </cell>
          <cell r="Q1025">
            <v>24140</v>
          </cell>
        </row>
        <row r="1026">
          <cell r="J1026">
            <v>55199.999999999993</v>
          </cell>
        </row>
        <row r="1027">
          <cell r="J1027">
            <v>15600</v>
          </cell>
          <cell r="Q1027">
            <v>24167</v>
          </cell>
        </row>
        <row r="1028">
          <cell r="J1028">
            <v>12150</v>
          </cell>
          <cell r="Q1028">
            <v>25051</v>
          </cell>
        </row>
        <row r="1029">
          <cell r="J1029">
            <v>2760</v>
          </cell>
        </row>
        <row r="1030">
          <cell r="J1030">
            <v>30500</v>
          </cell>
        </row>
        <row r="1031">
          <cell r="J1031">
            <v>8130</v>
          </cell>
        </row>
        <row r="1032">
          <cell r="J1032">
            <v>123250</v>
          </cell>
        </row>
        <row r="1033">
          <cell r="J1033">
            <v>69064</v>
          </cell>
        </row>
        <row r="1034">
          <cell r="J1034">
            <v>13960</v>
          </cell>
          <cell r="Q1034">
            <v>24149</v>
          </cell>
        </row>
        <row r="1035">
          <cell r="J1035">
            <v>31200</v>
          </cell>
          <cell r="Q1035">
            <v>24169</v>
          </cell>
        </row>
        <row r="1036">
          <cell r="J1036">
            <v>47000</v>
          </cell>
          <cell r="Q1036">
            <v>24173</v>
          </cell>
        </row>
        <row r="1037">
          <cell r="J1037">
            <v>39920</v>
          </cell>
          <cell r="Q1037">
            <v>24174</v>
          </cell>
        </row>
        <row r="1038">
          <cell r="J1038">
            <v>38700</v>
          </cell>
          <cell r="Q1038">
            <v>24228</v>
          </cell>
        </row>
        <row r="1039">
          <cell r="J1039">
            <v>13925</v>
          </cell>
          <cell r="Q1039">
            <v>24212</v>
          </cell>
        </row>
        <row r="1040">
          <cell r="J1040">
            <v>12750</v>
          </cell>
        </row>
        <row r="1041">
          <cell r="J1041">
            <v>22980</v>
          </cell>
        </row>
        <row r="1042">
          <cell r="J1042">
            <v>27520</v>
          </cell>
        </row>
        <row r="1043">
          <cell r="J1043">
            <v>3000</v>
          </cell>
          <cell r="Q1043">
            <v>24171</v>
          </cell>
        </row>
        <row r="1044">
          <cell r="J1044">
            <v>38250</v>
          </cell>
        </row>
        <row r="1045">
          <cell r="J1045">
            <v>15400</v>
          </cell>
          <cell r="Q1045">
            <v>24168</v>
          </cell>
        </row>
        <row r="1046">
          <cell r="J1046">
            <v>8100</v>
          </cell>
        </row>
        <row r="1047">
          <cell r="J1047">
            <v>19800</v>
          </cell>
        </row>
        <row r="1048">
          <cell r="J1048">
            <v>1980</v>
          </cell>
        </row>
        <row r="1049">
          <cell r="J1049">
            <v>15700</v>
          </cell>
        </row>
        <row r="1050">
          <cell r="J1050">
            <v>48500</v>
          </cell>
        </row>
        <row r="1051">
          <cell r="J1051">
            <v>20850</v>
          </cell>
        </row>
        <row r="1052">
          <cell r="J1052">
            <v>11975</v>
          </cell>
          <cell r="Q1052">
            <v>24213</v>
          </cell>
        </row>
        <row r="1053">
          <cell r="J1053">
            <v>6100</v>
          </cell>
        </row>
        <row r="1054">
          <cell r="J1054">
            <v>35950</v>
          </cell>
        </row>
        <row r="1055">
          <cell r="J1055">
            <v>38250</v>
          </cell>
        </row>
        <row r="1056">
          <cell r="J1056">
            <v>6860</v>
          </cell>
          <cell r="Q1056">
            <v>24207</v>
          </cell>
        </row>
        <row r="1057">
          <cell r="J1057">
            <v>18800</v>
          </cell>
          <cell r="Q1057">
            <v>24208</v>
          </cell>
        </row>
        <row r="1058">
          <cell r="J1058">
            <v>3870</v>
          </cell>
          <cell r="Q1058">
            <v>24172</v>
          </cell>
        </row>
        <row r="1059">
          <cell r="J1059">
            <v>18580</v>
          </cell>
        </row>
        <row r="1060">
          <cell r="J1060">
            <v>69750</v>
          </cell>
          <cell r="Q1060">
            <v>24165</v>
          </cell>
        </row>
        <row r="1061">
          <cell r="J1061">
            <v>5120</v>
          </cell>
          <cell r="Q1061">
            <v>24103</v>
          </cell>
        </row>
        <row r="1062">
          <cell r="J1062">
            <v>18000</v>
          </cell>
        </row>
        <row r="1063">
          <cell r="J1063">
            <v>55900</v>
          </cell>
          <cell r="Q1063">
            <v>24176</v>
          </cell>
        </row>
        <row r="1064">
          <cell r="J1064">
            <v>53099.999999999993</v>
          </cell>
          <cell r="Q1064">
            <v>24176</v>
          </cell>
        </row>
        <row r="1065">
          <cell r="J1065">
            <v>38600</v>
          </cell>
          <cell r="Q1065">
            <v>24175</v>
          </cell>
        </row>
        <row r="1066">
          <cell r="J1066">
            <v>3600</v>
          </cell>
        </row>
        <row r="1067">
          <cell r="J1067">
            <v>0</v>
          </cell>
        </row>
        <row r="1068">
          <cell r="J1068">
            <v>15660</v>
          </cell>
        </row>
        <row r="1069">
          <cell r="J1069">
            <v>44600</v>
          </cell>
        </row>
        <row r="1070">
          <cell r="J1070">
            <v>10416</v>
          </cell>
        </row>
        <row r="1071">
          <cell r="J1071">
            <v>6168</v>
          </cell>
        </row>
        <row r="1072">
          <cell r="J1072">
            <v>1195</v>
          </cell>
        </row>
        <row r="1073">
          <cell r="J1073">
            <v>3090</v>
          </cell>
        </row>
        <row r="1074">
          <cell r="J1074">
            <v>7154</v>
          </cell>
          <cell r="Q1074">
            <v>24254</v>
          </cell>
        </row>
        <row r="1075">
          <cell r="J1075">
            <v>12311.999999999998</v>
          </cell>
        </row>
        <row r="1076">
          <cell r="J1076">
            <v>43300</v>
          </cell>
        </row>
        <row r="1077">
          <cell r="J1077">
            <v>57000</v>
          </cell>
        </row>
        <row r="1078">
          <cell r="J1078">
            <v>2800</v>
          </cell>
        </row>
        <row r="1079">
          <cell r="J1079">
            <v>55500</v>
          </cell>
        </row>
        <row r="1080">
          <cell r="J1080">
            <v>40350</v>
          </cell>
        </row>
        <row r="1081">
          <cell r="J1081">
            <v>154799.19999999998</v>
          </cell>
        </row>
        <row r="1082">
          <cell r="J1082">
            <v>842240</v>
          </cell>
        </row>
        <row r="1083">
          <cell r="J1083">
            <v>668500</v>
          </cell>
        </row>
        <row r="1084">
          <cell r="J1084">
            <v>191800</v>
          </cell>
        </row>
        <row r="1085">
          <cell r="J1085">
            <v>639.6</v>
          </cell>
        </row>
        <row r="1086">
          <cell r="J1086">
            <v>140000</v>
          </cell>
          <cell r="Q1086">
            <v>24237</v>
          </cell>
        </row>
        <row r="1087">
          <cell r="J1087">
            <v>8700</v>
          </cell>
          <cell r="Q1087">
            <v>24193</v>
          </cell>
        </row>
        <row r="1088">
          <cell r="J1088">
            <v>6770</v>
          </cell>
          <cell r="Q1088">
            <v>24198</v>
          </cell>
        </row>
        <row r="1089">
          <cell r="J1089">
            <v>15050</v>
          </cell>
          <cell r="Q1089">
            <v>24179</v>
          </cell>
        </row>
        <row r="1090">
          <cell r="J1090">
            <v>9000</v>
          </cell>
        </row>
        <row r="1091">
          <cell r="J1091">
            <v>61000</v>
          </cell>
          <cell r="Q1091">
            <v>24238</v>
          </cell>
        </row>
        <row r="1092">
          <cell r="J1092">
            <v>21000</v>
          </cell>
          <cell r="Q1092">
            <v>24238</v>
          </cell>
        </row>
        <row r="1093">
          <cell r="J1093">
            <v>17400</v>
          </cell>
          <cell r="Q1093">
            <v>24238</v>
          </cell>
        </row>
        <row r="1094">
          <cell r="J1094">
            <v>14500</v>
          </cell>
          <cell r="Q1094">
            <v>24238</v>
          </cell>
        </row>
        <row r="1095">
          <cell r="J1095">
            <v>8100.0000000000018</v>
          </cell>
        </row>
        <row r="1096">
          <cell r="J1096">
            <v>24350</v>
          </cell>
        </row>
        <row r="1097">
          <cell r="J1097">
            <v>5015</v>
          </cell>
          <cell r="Q1097">
            <v>24187</v>
          </cell>
        </row>
        <row r="1098">
          <cell r="J1098">
            <v>14900</v>
          </cell>
        </row>
        <row r="1099">
          <cell r="J1099">
            <v>6945</v>
          </cell>
          <cell r="Q1099">
            <v>24181</v>
          </cell>
        </row>
        <row r="1100">
          <cell r="J1100">
            <v>35400</v>
          </cell>
          <cell r="Q1100">
            <v>24201</v>
          </cell>
        </row>
        <row r="1101">
          <cell r="J1101">
            <v>17360</v>
          </cell>
        </row>
        <row r="1102">
          <cell r="J1102">
            <v>13860</v>
          </cell>
        </row>
        <row r="1103">
          <cell r="J1103">
            <v>18990</v>
          </cell>
          <cell r="Q1103">
            <v>24199</v>
          </cell>
        </row>
        <row r="1104">
          <cell r="J1104">
            <v>18525</v>
          </cell>
        </row>
        <row r="1105">
          <cell r="J1105">
            <v>40141</v>
          </cell>
          <cell r="Q1105">
            <v>24185</v>
          </cell>
        </row>
        <row r="1106">
          <cell r="J1106">
            <v>37375</v>
          </cell>
          <cell r="Q1106">
            <v>24184</v>
          </cell>
        </row>
        <row r="1107">
          <cell r="J1107">
            <v>111072</v>
          </cell>
          <cell r="Q1107">
            <v>24183</v>
          </cell>
        </row>
        <row r="1108">
          <cell r="J1108">
            <v>1500</v>
          </cell>
        </row>
        <row r="1109">
          <cell r="J1109">
            <v>24142.5</v>
          </cell>
          <cell r="Q1109">
            <v>24182</v>
          </cell>
        </row>
        <row r="1110">
          <cell r="J1110">
            <v>9717.9999999999982</v>
          </cell>
        </row>
        <row r="1111">
          <cell r="J1111">
            <v>18319.5</v>
          </cell>
        </row>
        <row r="1112">
          <cell r="J1112">
            <v>3490</v>
          </cell>
          <cell r="Q1112">
            <v>24186</v>
          </cell>
        </row>
        <row r="1113">
          <cell r="J1113">
            <v>23495</v>
          </cell>
        </row>
        <row r="1114">
          <cell r="J1114">
            <v>58750</v>
          </cell>
        </row>
        <row r="1115">
          <cell r="J1115">
            <v>313950</v>
          </cell>
          <cell r="Q1115">
            <v>24190</v>
          </cell>
        </row>
        <row r="1116">
          <cell r="J1116">
            <v>6540.0000000000009</v>
          </cell>
          <cell r="Q1116">
            <v>24195</v>
          </cell>
        </row>
        <row r="1117">
          <cell r="J1117">
            <v>8100</v>
          </cell>
          <cell r="Q1117">
            <v>24205</v>
          </cell>
        </row>
        <row r="1118">
          <cell r="J1118">
            <v>291900</v>
          </cell>
        </row>
        <row r="1119">
          <cell r="J1119">
            <v>78200</v>
          </cell>
          <cell r="Q1119">
            <v>24203</v>
          </cell>
        </row>
        <row r="1120">
          <cell r="J1120">
            <v>360</v>
          </cell>
        </row>
        <row r="1121">
          <cell r="J1121">
            <v>57600</v>
          </cell>
          <cell r="Q1121">
            <v>24196</v>
          </cell>
        </row>
        <row r="1122">
          <cell r="J1122">
            <v>37715</v>
          </cell>
          <cell r="Q1122">
            <v>24197</v>
          </cell>
        </row>
        <row r="1123">
          <cell r="J1123">
            <v>10050</v>
          </cell>
        </row>
        <row r="1124">
          <cell r="J1124">
            <v>3465</v>
          </cell>
          <cell r="Q1124">
            <v>24202</v>
          </cell>
        </row>
        <row r="1125">
          <cell r="J1125">
            <v>18495</v>
          </cell>
          <cell r="Q1125">
            <v>24214</v>
          </cell>
        </row>
        <row r="1126">
          <cell r="J1126">
            <v>21400</v>
          </cell>
        </row>
        <row r="1127">
          <cell r="J1127">
            <v>3125</v>
          </cell>
        </row>
        <row r="1128">
          <cell r="J1128">
            <v>10720</v>
          </cell>
          <cell r="Q1128">
            <v>24210</v>
          </cell>
        </row>
        <row r="1129">
          <cell r="J1129">
            <v>12240</v>
          </cell>
          <cell r="Q1129">
            <v>24210</v>
          </cell>
        </row>
        <row r="1130">
          <cell r="J1130">
            <v>0</v>
          </cell>
        </row>
        <row r="1131">
          <cell r="J1131">
            <v>73300</v>
          </cell>
          <cell r="Q1131">
            <v>24227</v>
          </cell>
        </row>
        <row r="1132">
          <cell r="J1132">
            <v>69174</v>
          </cell>
          <cell r="Q1132">
            <v>24204</v>
          </cell>
        </row>
        <row r="1133">
          <cell r="J1133">
            <v>6350</v>
          </cell>
        </row>
        <row r="1134">
          <cell r="J1134">
            <v>4370</v>
          </cell>
        </row>
        <row r="1135">
          <cell r="J1135">
            <v>9120</v>
          </cell>
        </row>
        <row r="1136">
          <cell r="J1136">
            <v>98440</v>
          </cell>
        </row>
        <row r="1137">
          <cell r="J1137">
            <v>20000</v>
          </cell>
        </row>
        <row r="1138">
          <cell r="J1138">
            <v>0</v>
          </cell>
        </row>
        <row r="1139">
          <cell r="J1139">
            <v>5650</v>
          </cell>
        </row>
        <row r="1140">
          <cell r="J1140">
            <v>5800</v>
          </cell>
        </row>
        <row r="1141">
          <cell r="J1141">
            <v>34500</v>
          </cell>
          <cell r="Q1141">
            <v>24232</v>
          </cell>
        </row>
        <row r="1142">
          <cell r="J1142">
            <v>1270</v>
          </cell>
        </row>
        <row r="1143">
          <cell r="J1143">
            <v>9510</v>
          </cell>
        </row>
        <row r="1144">
          <cell r="J1144">
            <v>2610</v>
          </cell>
        </row>
        <row r="1145">
          <cell r="J1145">
            <v>54974.999999999993</v>
          </cell>
          <cell r="Q1145">
            <v>25142</v>
          </cell>
        </row>
        <row r="1146">
          <cell r="J1146">
            <v>60224.999999999993</v>
          </cell>
        </row>
        <row r="1147">
          <cell r="J1147">
            <v>9135</v>
          </cell>
        </row>
        <row r="1148">
          <cell r="J1148">
            <v>1390</v>
          </cell>
        </row>
        <row r="1149">
          <cell r="J1149">
            <v>4950</v>
          </cell>
        </row>
        <row r="1150">
          <cell r="J1150">
            <v>33400</v>
          </cell>
        </row>
        <row r="1151">
          <cell r="J1151">
            <v>6500</v>
          </cell>
        </row>
        <row r="1152">
          <cell r="J1152">
            <v>32850</v>
          </cell>
        </row>
        <row r="1153">
          <cell r="J1153">
            <v>3815.0000000000009</v>
          </cell>
        </row>
        <row r="1154">
          <cell r="J1154">
            <v>20800</v>
          </cell>
        </row>
        <row r="1155">
          <cell r="J1155">
            <v>385081.1999999999</v>
          </cell>
        </row>
        <row r="1156">
          <cell r="J1156">
            <v>12480</v>
          </cell>
        </row>
        <row r="1157">
          <cell r="J1157">
            <v>33120</v>
          </cell>
        </row>
        <row r="1158">
          <cell r="J1158">
            <v>7320</v>
          </cell>
          <cell r="Q1158">
            <v>25014</v>
          </cell>
        </row>
        <row r="1159">
          <cell r="J1159">
            <v>8360</v>
          </cell>
          <cell r="Q1159">
            <v>24260</v>
          </cell>
        </row>
        <row r="1160">
          <cell r="J1160">
            <v>21760</v>
          </cell>
        </row>
        <row r="1161">
          <cell r="J1161">
            <v>7500</v>
          </cell>
          <cell r="Q1161">
            <v>24262</v>
          </cell>
        </row>
        <row r="1162">
          <cell r="J1162">
            <v>10080</v>
          </cell>
        </row>
        <row r="1163">
          <cell r="J1163">
            <v>17640</v>
          </cell>
          <cell r="Q1163">
            <v>24255</v>
          </cell>
        </row>
        <row r="1164">
          <cell r="J1164">
            <v>9133.1999999999989</v>
          </cell>
        </row>
        <row r="1165">
          <cell r="J1165">
            <v>1384.6</v>
          </cell>
        </row>
        <row r="1166">
          <cell r="J1166">
            <v>7470</v>
          </cell>
        </row>
        <row r="1167">
          <cell r="J1167">
            <v>5940</v>
          </cell>
        </row>
        <row r="1168">
          <cell r="J1168">
            <v>15054.9</v>
          </cell>
          <cell r="Q1168">
            <v>24219</v>
          </cell>
        </row>
        <row r="1169">
          <cell r="J1169">
            <v>28039.5</v>
          </cell>
          <cell r="Q1169">
            <v>21219</v>
          </cell>
        </row>
        <row r="1170">
          <cell r="J1170">
            <v>41000</v>
          </cell>
          <cell r="Q1170">
            <v>24264</v>
          </cell>
        </row>
        <row r="1171">
          <cell r="J1171">
            <v>13097.999999999998</v>
          </cell>
          <cell r="Q1171">
            <v>24256</v>
          </cell>
        </row>
        <row r="1172">
          <cell r="J1172">
            <v>12612.6</v>
          </cell>
        </row>
        <row r="1173">
          <cell r="J1173">
            <v>4200</v>
          </cell>
          <cell r="Q1173">
            <v>24217</v>
          </cell>
        </row>
        <row r="1174">
          <cell r="J1174">
            <v>5300</v>
          </cell>
          <cell r="Q1174">
            <v>24216</v>
          </cell>
        </row>
        <row r="1175">
          <cell r="J1175">
            <v>18970</v>
          </cell>
        </row>
        <row r="1176">
          <cell r="J1176">
            <v>16710</v>
          </cell>
        </row>
        <row r="1177">
          <cell r="J1177">
            <v>52000</v>
          </cell>
          <cell r="Q1177">
            <v>25127</v>
          </cell>
        </row>
        <row r="1178">
          <cell r="J1178">
            <v>3965</v>
          </cell>
          <cell r="Q1178">
            <v>24229</v>
          </cell>
        </row>
        <row r="1179">
          <cell r="J1179">
            <v>15000</v>
          </cell>
          <cell r="Q1179">
            <v>24224</v>
          </cell>
        </row>
        <row r="1180">
          <cell r="J1180">
            <v>8694</v>
          </cell>
          <cell r="Q1180">
            <v>24225</v>
          </cell>
        </row>
        <row r="1181">
          <cell r="J1181">
            <v>13647.500000000002</v>
          </cell>
          <cell r="Q1181">
            <v>24223</v>
          </cell>
        </row>
        <row r="1182">
          <cell r="J1182">
            <v>14040</v>
          </cell>
        </row>
        <row r="1183">
          <cell r="J1183">
            <v>14960</v>
          </cell>
          <cell r="Q1183">
            <v>24221</v>
          </cell>
        </row>
        <row r="1184">
          <cell r="J1184">
            <v>20764</v>
          </cell>
        </row>
        <row r="1185">
          <cell r="J1185">
            <v>26674.999999999996</v>
          </cell>
          <cell r="Q1185">
            <v>25010</v>
          </cell>
        </row>
        <row r="1186">
          <cell r="J1186">
            <v>12900</v>
          </cell>
        </row>
        <row r="1187">
          <cell r="J1187">
            <v>22725</v>
          </cell>
        </row>
        <row r="1188">
          <cell r="J1188">
            <v>37890</v>
          </cell>
          <cell r="Q1188">
            <v>24218</v>
          </cell>
        </row>
        <row r="1189">
          <cell r="J1189">
            <v>16250</v>
          </cell>
        </row>
        <row r="1190">
          <cell r="J1190">
            <v>38675</v>
          </cell>
        </row>
        <row r="1191">
          <cell r="J1191">
            <v>31900</v>
          </cell>
        </row>
        <row r="1192">
          <cell r="J1192">
            <v>9800</v>
          </cell>
          <cell r="Q1192">
            <v>24220</v>
          </cell>
        </row>
        <row r="1193">
          <cell r="J1193">
            <v>30380</v>
          </cell>
        </row>
        <row r="1194">
          <cell r="J1194">
            <v>2810</v>
          </cell>
        </row>
        <row r="1195">
          <cell r="J1195">
            <v>9580</v>
          </cell>
        </row>
        <row r="1196">
          <cell r="J1196">
            <v>1887.5</v>
          </cell>
        </row>
        <row r="1197">
          <cell r="J1197">
            <v>29200</v>
          </cell>
        </row>
        <row r="1198">
          <cell r="J1198">
            <v>1200</v>
          </cell>
        </row>
        <row r="1199">
          <cell r="J1199">
            <v>2920</v>
          </cell>
        </row>
        <row r="1200">
          <cell r="J1200">
            <v>1940</v>
          </cell>
        </row>
        <row r="1201">
          <cell r="J1201">
            <v>115200</v>
          </cell>
          <cell r="Q1201">
            <v>24242</v>
          </cell>
        </row>
        <row r="1202">
          <cell r="J1202">
            <v>11100</v>
          </cell>
          <cell r="Q1202">
            <v>24243</v>
          </cell>
        </row>
        <row r="1203">
          <cell r="J1203">
            <v>7070</v>
          </cell>
          <cell r="Q1203">
            <v>25045</v>
          </cell>
        </row>
        <row r="1204">
          <cell r="J1204">
            <v>42800</v>
          </cell>
          <cell r="Q1204">
            <v>24245</v>
          </cell>
        </row>
        <row r="1205">
          <cell r="J1205">
            <v>5525</v>
          </cell>
          <cell r="Q1205">
            <v>24543</v>
          </cell>
        </row>
        <row r="1206">
          <cell r="J1206">
            <v>8750</v>
          </cell>
          <cell r="Q1206">
            <v>24226</v>
          </cell>
        </row>
        <row r="1207">
          <cell r="J1207">
            <v>7940</v>
          </cell>
          <cell r="Q1207">
            <v>24239</v>
          </cell>
        </row>
        <row r="1208">
          <cell r="J1208">
            <v>27800</v>
          </cell>
        </row>
        <row r="1209">
          <cell r="J1209">
            <v>12500</v>
          </cell>
          <cell r="Q1209">
            <v>24235</v>
          </cell>
        </row>
        <row r="1210">
          <cell r="J1210">
            <v>89320</v>
          </cell>
        </row>
        <row r="1211">
          <cell r="J1211">
            <v>29760</v>
          </cell>
          <cell r="Q1211">
            <v>24241</v>
          </cell>
        </row>
        <row r="1212">
          <cell r="J1212">
            <v>9150</v>
          </cell>
          <cell r="Q1212">
            <v>25020</v>
          </cell>
        </row>
        <row r="1213">
          <cell r="J1213">
            <v>14287</v>
          </cell>
          <cell r="Q1213">
            <v>24247</v>
          </cell>
        </row>
        <row r="1214">
          <cell r="J1214">
            <v>4377.6000000000004</v>
          </cell>
          <cell r="Q1214">
            <v>24231</v>
          </cell>
        </row>
        <row r="1215">
          <cell r="J1215">
            <v>18000</v>
          </cell>
        </row>
        <row r="1216">
          <cell r="J1216">
            <v>3375</v>
          </cell>
        </row>
        <row r="1217">
          <cell r="J1217">
            <v>2520</v>
          </cell>
          <cell r="Q1217">
            <v>24240</v>
          </cell>
        </row>
        <row r="1218">
          <cell r="J1218">
            <v>2800</v>
          </cell>
        </row>
        <row r="1219">
          <cell r="J1219">
            <v>3795</v>
          </cell>
        </row>
        <row r="1220">
          <cell r="J1220">
            <v>6650</v>
          </cell>
        </row>
        <row r="1221">
          <cell r="J1221">
            <v>73000</v>
          </cell>
        </row>
        <row r="1222">
          <cell r="J1222">
            <v>60299.999999999993</v>
          </cell>
          <cell r="Q1222">
            <v>24246</v>
          </cell>
        </row>
        <row r="1223">
          <cell r="J1223">
            <v>70200</v>
          </cell>
          <cell r="Q1223">
            <v>24246</v>
          </cell>
        </row>
        <row r="1224">
          <cell r="J1224">
            <v>5835</v>
          </cell>
          <cell r="Q1224">
            <v>24248</v>
          </cell>
        </row>
        <row r="1225">
          <cell r="J1225">
            <v>38000</v>
          </cell>
          <cell r="Q1225">
            <v>24264</v>
          </cell>
        </row>
        <row r="1226">
          <cell r="J1226">
            <v>26125</v>
          </cell>
        </row>
        <row r="1227">
          <cell r="J1227">
            <v>200</v>
          </cell>
        </row>
        <row r="1228">
          <cell r="J1228">
            <v>10590</v>
          </cell>
        </row>
        <row r="1229">
          <cell r="J1229">
            <v>10600</v>
          </cell>
        </row>
        <row r="1230">
          <cell r="J1230">
            <v>7250</v>
          </cell>
        </row>
        <row r="1231">
          <cell r="J1231">
            <v>31950</v>
          </cell>
          <cell r="Q1231">
            <v>24258</v>
          </cell>
        </row>
        <row r="1232">
          <cell r="J1232">
            <v>3450</v>
          </cell>
          <cell r="Q1232">
            <v>24270</v>
          </cell>
        </row>
        <row r="1233">
          <cell r="J1233">
            <v>44900</v>
          </cell>
          <cell r="Q1233">
            <v>24252</v>
          </cell>
        </row>
        <row r="1234">
          <cell r="J1234">
            <v>6828.0000000000009</v>
          </cell>
          <cell r="Q1234">
            <v>25029</v>
          </cell>
        </row>
        <row r="1235">
          <cell r="J1235">
            <v>9940</v>
          </cell>
          <cell r="Q1235">
            <v>25011</v>
          </cell>
        </row>
        <row r="1236">
          <cell r="J1236">
            <v>1570</v>
          </cell>
        </row>
        <row r="1237">
          <cell r="J1237">
            <v>120840</v>
          </cell>
          <cell r="Q1237">
            <v>24261</v>
          </cell>
        </row>
        <row r="1238">
          <cell r="J1238">
            <v>2870</v>
          </cell>
          <cell r="Q1238">
            <v>24257</v>
          </cell>
        </row>
        <row r="1239">
          <cell r="J1239">
            <v>33700</v>
          </cell>
          <cell r="Q1239">
            <v>25055</v>
          </cell>
        </row>
        <row r="1240">
          <cell r="J1240">
            <v>21051.599999999999</v>
          </cell>
        </row>
        <row r="1241">
          <cell r="J1241">
            <v>17298</v>
          </cell>
        </row>
        <row r="1242">
          <cell r="J1242">
            <v>10528</v>
          </cell>
        </row>
        <row r="1243">
          <cell r="J1243">
            <v>37990</v>
          </cell>
          <cell r="Q1243">
            <v>24249</v>
          </cell>
        </row>
        <row r="1244">
          <cell r="J1244">
            <v>2868</v>
          </cell>
        </row>
        <row r="1245">
          <cell r="J1245">
            <v>1974</v>
          </cell>
        </row>
        <row r="1246">
          <cell r="J1246">
            <v>11800</v>
          </cell>
        </row>
        <row r="1247">
          <cell r="J1247">
            <v>18957</v>
          </cell>
        </row>
        <row r="1248">
          <cell r="J1248">
            <v>9360</v>
          </cell>
          <cell r="Q1248">
            <v>24251</v>
          </cell>
        </row>
        <row r="1249">
          <cell r="J1249">
            <v>44005</v>
          </cell>
          <cell r="Q1249">
            <v>24250</v>
          </cell>
        </row>
        <row r="1250">
          <cell r="J1250">
            <v>23520</v>
          </cell>
        </row>
        <row r="1251">
          <cell r="J1251">
            <v>10245</v>
          </cell>
        </row>
        <row r="1252">
          <cell r="J1252">
            <v>125719</v>
          </cell>
        </row>
        <row r="1253">
          <cell r="J1253">
            <v>84000</v>
          </cell>
        </row>
        <row r="1254">
          <cell r="J1254">
            <v>126929</v>
          </cell>
          <cell r="Q1254">
            <v>25116</v>
          </cell>
        </row>
        <row r="1255">
          <cell r="J1255">
            <v>9669.6</v>
          </cell>
          <cell r="Q1255">
            <v>24265</v>
          </cell>
        </row>
        <row r="1256">
          <cell r="J1256">
            <v>9150</v>
          </cell>
          <cell r="Q1256">
            <v>24594</v>
          </cell>
        </row>
        <row r="1257">
          <cell r="J1257">
            <v>17775</v>
          </cell>
          <cell r="Q1257">
            <v>24595</v>
          </cell>
        </row>
        <row r="1258">
          <cell r="J1258">
            <v>5950</v>
          </cell>
        </row>
        <row r="1259">
          <cell r="J1259">
            <v>8788</v>
          </cell>
        </row>
        <row r="1260">
          <cell r="J1260">
            <v>19920</v>
          </cell>
        </row>
        <row r="1261">
          <cell r="J1261">
            <v>18500</v>
          </cell>
        </row>
        <row r="1262">
          <cell r="J1262">
            <v>4054.9999999999991</v>
          </cell>
        </row>
        <row r="1263">
          <cell r="J1263">
            <v>33780</v>
          </cell>
        </row>
        <row r="1264">
          <cell r="J1264">
            <v>227600.00000000003</v>
          </cell>
        </row>
        <row r="1265">
          <cell r="J1265">
            <v>145000</v>
          </cell>
        </row>
        <row r="1266">
          <cell r="J1266">
            <v>290340</v>
          </cell>
        </row>
        <row r="1267">
          <cell r="J1267">
            <v>169740</v>
          </cell>
        </row>
        <row r="1268">
          <cell r="J1268">
            <v>152730</v>
          </cell>
          <cell r="Q1268">
            <v>25073</v>
          </cell>
        </row>
        <row r="1269">
          <cell r="J1269">
            <v>83609.999999999985</v>
          </cell>
        </row>
        <row r="1270">
          <cell r="J1270">
            <v>356660</v>
          </cell>
        </row>
        <row r="1271">
          <cell r="J1271">
            <v>438899.99999999994</v>
          </cell>
          <cell r="Q1271">
            <v>25072</v>
          </cell>
        </row>
        <row r="1272">
          <cell r="J1272">
            <v>10980</v>
          </cell>
          <cell r="Q1272">
            <v>25065</v>
          </cell>
        </row>
        <row r="1273">
          <cell r="J1273">
            <v>3390</v>
          </cell>
        </row>
        <row r="1274">
          <cell r="J1274">
            <v>72967.5</v>
          </cell>
          <cell r="Q1274">
            <v>25008</v>
          </cell>
        </row>
        <row r="1275">
          <cell r="J1275">
            <v>54472.5</v>
          </cell>
        </row>
        <row r="1276">
          <cell r="J1276">
            <v>92213</v>
          </cell>
          <cell r="Q1276">
            <v>25007</v>
          </cell>
        </row>
        <row r="1277">
          <cell r="J1277">
            <v>158760</v>
          </cell>
        </row>
        <row r="1278">
          <cell r="J1278">
            <v>11610</v>
          </cell>
          <cell r="Q1278">
            <v>24619</v>
          </cell>
        </row>
        <row r="1279">
          <cell r="J1279">
            <v>5460</v>
          </cell>
        </row>
        <row r="1280">
          <cell r="J1280">
            <v>8910</v>
          </cell>
        </row>
        <row r="1281">
          <cell r="J1281">
            <v>3660</v>
          </cell>
          <cell r="Q1281">
            <v>25003</v>
          </cell>
        </row>
        <row r="1282">
          <cell r="J1282">
            <v>5800</v>
          </cell>
          <cell r="Q1282">
            <v>25005</v>
          </cell>
        </row>
        <row r="1283">
          <cell r="J1283">
            <v>33000</v>
          </cell>
        </row>
        <row r="1284">
          <cell r="J1284">
            <v>50900</v>
          </cell>
          <cell r="Q1284">
            <v>25022</v>
          </cell>
        </row>
        <row r="1285">
          <cell r="J1285">
            <v>32200.000000000004</v>
          </cell>
          <cell r="Q1285">
            <v>25006</v>
          </cell>
        </row>
        <row r="1286">
          <cell r="J1286">
            <v>32200.000000000004</v>
          </cell>
          <cell r="Q1286">
            <v>25007</v>
          </cell>
        </row>
        <row r="1287">
          <cell r="J1287">
            <v>32200.000000000004</v>
          </cell>
          <cell r="Q1287">
            <v>25008</v>
          </cell>
        </row>
        <row r="1288">
          <cell r="J1288">
            <v>32200.000000000004</v>
          </cell>
          <cell r="Q1288">
            <v>25009</v>
          </cell>
        </row>
        <row r="1289">
          <cell r="J1289">
            <v>1896</v>
          </cell>
        </row>
        <row r="1290">
          <cell r="J1290">
            <v>5707.2</v>
          </cell>
        </row>
        <row r="1291">
          <cell r="J1291">
            <v>15000</v>
          </cell>
        </row>
        <row r="1292">
          <cell r="J1292">
            <v>189000</v>
          </cell>
          <cell r="Q1292">
            <v>25149</v>
          </cell>
        </row>
        <row r="1293">
          <cell r="J1293">
            <v>19308</v>
          </cell>
          <cell r="Q1293">
            <v>25042</v>
          </cell>
        </row>
        <row r="1294">
          <cell r="J1294">
            <v>3475</v>
          </cell>
        </row>
        <row r="1295">
          <cell r="J1295">
            <v>23608</v>
          </cell>
        </row>
        <row r="1296">
          <cell r="J1296">
            <v>14370</v>
          </cell>
          <cell r="Q1296">
            <v>25021</v>
          </cell>
        </row>
        <row r="1297">
          <cell r="J1297">
            <v>4304</v>
          </cell>
          <cell r="Q1297">
            <v>25036</v>
          </cell>
        </row>
        <row r="1298">
          <cell r="J1298">
            <v>6900</v>
          </cell>
          <cell r="Q1298">
            <v>25057</v>
          </cell>
        </row>
        <row r="1299">
          <cell r="J1299">
            <v>23200</v>
          </cell>
          <cell r="Q1299">
            <v>25044</v>
          </cell>
        </row>
        <row r="1300">
          <cell r="J1300">
            <v>3022.5</v>
          </cell>
        </row>
        <row r="1301">
          <cell r="J1301">
            <v>7380</v>
          </cell>
        </row>
        <row r="1302">
          <cell r="J1302">
            <v>9500</v>
          </cell>
          <cell r="Q1302">
            <v>25017</v>
          </cell>
        </row>
        <row r="1303">
          <cell r="J1303">
            <v>7950</v>
          </cell>
        </row>
        <row r="1304">
          <cell r="J1304">
            <v>8960</v>
          </cell>
        </row>
        <row r="1305">
          <cell r="J1305">
            <v>16400</v>
          </cell>
        </row>
        <row r="1306">
          <cell r="J1306">
            <v>19920</v>
          </cell>
        </row>
        <row r="1307">
          <cell r="J1307">
            <v>10770</v>
          </cell>
        </row>
        <row r="1308">
          <cell r="J1308">
            <v>1170</v>
          </cell>
        </row>
        <row r="1309">
          <cell r="J1309">
            <v>15650</v>
          </cell>
        </row>
        <row r="1310">
          <cell r="J1310">
            <v>8430</v>
          </cell>
        </row>
        <row r="1311">
          <cell r="J1311">
            <v>29550</v>
          </cell>
          <cell r="Q1311">
            <v>25011</v>
          </cell>
        </row>
        <row r="1312">
          <cell r="J1312">
            <v>18300</v>
          </cell>
          <cell r="Q1312">
            <v>25011</v>
          </cell>
        </row>
        <row r="1313">
          <cell r="J1313">
            <v>40320.000000000007</v>
          </cell>
          <cell r="Q1313">
            <v>25048</v>
          </cell>
        </row>
        <row r="1314">
          <cell r="J1314">
            <v>4930</v>
          </cell>
        </row>
        <row r="1315">
          <cell r="J1315">
            <v>53720</v>
          </cell>
          <cell r="Q1315">
            <v>25015</v>
          </cell>
        </row>
        <row r="1316">
          <cell r="J1316">
            <v>17500</v>
          </cell>
        </row>
        <row r="1317">
          <cell r="J1317">
            <v>14400</v>
          </cell>
        </row>
        <row r="1318">
          <cell r="J1318">
            <v>22200</v>
          </cell>
          <cell r="Q1318">
            <v>25018</v>
          </cell>
        </row>
        <row r="1319">
          <cell r="J1319">
            <v>25400</v>
          </cell>
          <cell r="Q1319">
            <v>25028</v>
          </cell>
        </row>
        <row r="1320">
          <cell r="J1320">
            <v>940</v>
          </cell>
        </row>
        <row r="1321">
          <cell r="J1321">
            <v>0</v>
          </cell>
        </row>
        <row r="1322">
          <cell r="J1322">
            <v>5920</v>
          </cell>
        </row>
        <row r="1323">
          <cell r="J1323">
            <v>3100</v>
          </cell>
        </row>
        <row r="1324">
          <cell r="J1324">
            <v>2721.6</v>
          </cell>
        </row>
        <row r="1325">
          <cell r="J1325">
            <v>60800</v>
          </cell>
          <cell r="Q1325">
            <v>25031</v>
          </cell>
        </row>
        <row r="1326">
          <cell r="J1326">
            <v>71900</v>
          </cell>
          <cell r="Q1326">
            <v>25030</v>
          </cell>
        </row>
        <row r="1327">
          <cell r="J1327">
            <v>9222.5</v>
          </cell>
        </row>
        <row r="1328">
          <cell r="J1328">
            <v>7839.9999999999982</v>
          </cell>
        </row>
        <row r="1329">
          <cell r="J1329">
            <v>4497</v>
          </cell>
        </row>
        <row r="1330">
          <cell r="J1330">
            <v>4800</v>
          </cell>
          <cell r="Q1330">
            <v>25033</v>
          </cell>
        </row>
        <row r="1331">
          <cell r="J1331">
            <v>5730</v>
          </cell>
          <cell r="Q1331">
            <v>25034</v>
          </cell>
        </row>
        <row r="1332">
          <cell r="J1332">
            <v>12400</v>
          </cell>
        </row>
        <row r="1333">
          <cell r="J1333">
            <v>4575</v>
          </cell>
        </row>
        <row r="1334">
          <cell r="J1334">
            <v>44100</v>
          </cell>
          <cell r="Q1334">
            <v>25032</v>
          </cell>
        </row>
        <row r="1335">
          <cell r="J1335">
            <v>51450</v>
          </cell>
        </row>
        <row r="1336">
          <cell r="J1336">
            <v>46500</v>
          </cell>
        </row>
        <row r="1337">
          <cell r="J1337">
            <v>63936</v>
          </cell>
        </row>
        <row r="1338">
          <cell r="J1338">
            <v>3870</v>
          </cell>
        </row>
        <row r="1339">
          <cell r="J1339">
            <v>11490</v>
          </cell>
          <cell r="Q1339">
            <v>25027</v>
          </cell>
        </row>
        <row r="1340">
          <cell r="J1340">
            <v>32400.000000000004</v>
          </cell>
        </row>
        <row r="1341">
          <cell r="J1341">
            <v>38500</v>
          </cell>
          <cell r="Q1341">
            <v>25122</v>
          </cell>
        </row>
        <row r="1342">
          <cell r="J1342">
            <v>16200</v>
          </cell>
          <cell r="Q1342">
            <v>25122</v>
          </cell>
        </row>
        <row r="1343">
          <cell r="J1343">
            <v>23180</v>
          </cell>
          <cell r="Q1343">
            <v>25169</v>
          </cell>
        </row>
        <row r="1344">
          <cell r="J1344">
            <v>41860</v>
          </cell>
          <cell r="Q1344">
            <v>25207</v>
          </cell>
        </row>
        <row r="1345">
          <cell r="J1345">
            <v>27140</v>
          </cell>
          <cell r="Q1345">
            <v>26176</v>
          </cell>
        </row>
        <row r="1346">
          <cell r="J1346">
            <v>5550</v>
          </cell>
          <cell r="Q1346">
            <v>25067</v>
          </cell>
        </row>
        <row r="1347">
          <cell r="J1347">
            <v>15750</v>
          </cell>
        </row>
        <row r="1348">
          <cell r="J1348">
            <v>57399.999999999993</v>
          </cell>
          <cell r="Q1348">
            <v>25052</v>
          </cell>
        </row>
        <row r="1349">
          <cell r="J1349">
            <v>2860</v>
          </cell>
        </row>
        <row r="1350">
          <cell r="J1350">
            <v>9920</v>
          </cell>
        </row>
        <row r="1351">
          <cell r="J1351">
            <v>25155</v>
          </cell>
        </row>
        <row r="1352">
          <cell r="J1352">
            <v>16390</v>
          </cell>
          <cell r="Q1352">
            <v>25024</v>
          </cell>
        </row>
        <row r="1353">
          <cell r="J1353">
            <v>20400</v>
          </cell>
        </row>
        <row r="1354">
          <cell r="J1354">
            <v>14960</v>
          </cell>
          <cell r="Q1354">
            <v>25070</v>
          </cell>
        </row>
        <row r="1355">
          <cell r="J1355">
            <v>14890</v>
          </cell>
          <cell r="Q1355">
            <v>25146</v>
          </cell>
        </row>
        <row r="1356">
          <cell r="J1356">
            <v>14020</v>
          </cell>
        </row>
        <row r="1357">
          <cell r="J1357">
            <v>13730</v>
          </cell>
        </row>
        <row r="1358">
          <cell r="J1358">
            <v>13680</v>
          </cell>
        </row>
        <row r="1359">
          <cell r="J1359">
            <v>13620</v>
          </cell>
        </row>
        <row r="1360">
          <cell r="J1360">
            <v>13672.5</v>
          </cell>
          <cell r="Q1360">
            <v>26166</v>
          </cell>
        </row>
        <row r="1361">
          <cell r="J1361">
            <v>12740</v>
          </cell>
        </row>
        <row r="1362">
          <cell r="J1362">
            <v>19500</v>
          </cell>
        </row>
        <row r="1363">
          <cell r="J1363">
            <v>22740</v>
          </cell>
          <cell r="Q1363">
            <v>25094</v>
          </cell>
        </row>
        <row r="1364">
          <cell r="J1364">
            <v>7820</v>
          </cell>
          <cell r="Q1364">
            <v>25181</v>
          </cell>
        </row>
        <row r="1365">
          <cell r="J1365">
            <v>7660</v>
          </cell>
        </row>
        <row r="1366">
          <cell r="J1366">
            <v>6530</v>
          </cell>
        </row>
        <row r="1367">
          <cell r="J1367">
            <v>6800</v>
          </cell>
        </row>
        <row r="1368">
          <cell r="J1368">
            <v>4525</v>
          </cell>
        </row>
        <row r="1369">
          <cell r="J1369">
            <v>4720</v>
          </cell>
        </row>
        <row r="1370">
          <cell r="J1370">
            <v>4030.0000000000009</v>
          </cell>
        </row>
        <row r="1371">
          <cell r="J1371">
            <v>6530</v>
          </cell>
        </row>
        <row r="1372">
          <cell r="J1372">
            <v>9400</v>
          </cell>
        </row>
        <row r="1373">
          <cell r="J1373">
            <v>8850</v>
          </cell>
        </row>
        <row r="1374">
          <cell r="J1374">
            <v>8850</v>
          </cell>
        </row>
        <row r="1375">
          <cell r="J1375">
            <v>8850</v>
          </cell>
        </row>
        <row r="1376">
          <cell r="J1376">
            <v>12300</v>
          </cell>
          <cell r="Q1376">
            <v>25041</v>
          </cell>
        </row>
        <row r="1377">
          <cell r="J1377">
            <v>7560</v>
          </cell>
        </row>
        <row r="1378">
          <cell r="J1378">
            <v>23280</v>
          </cell>
          <cell r="Q1378">
            <v>25230</v>
          </cell>
        </row>
        <row r="1379">
          <cell r="J1379">
            <v>4858.92</v>
          </cell>
        </row>
        <row r="1380">
          <cell r="J1380">
            <v>8000</v>
          </cell>
        </row>
        <row r="1381">
          <cell r="J1381">
            <v>18700</v>
          </cell>
          <cell r="Q1381">
            <v>25040</v>
          </cell>
        </row>
        <row r="1382">
          <cell r="J1382">
            <v>37200</v>
          </cell>
          <cell r="Q1382">
            <v>25040</v>
          </cell>
        </row>
        <row r="1383">
          <cell r="J1383">
            <v>4700</v>
          </cell>
          <cell r="Q1383">
            <v>25098</v>
          </cell>
        </row>
        <row r="1384">
          <cell r="J1384">
            <v>31509</v>
          </cell>
        </row>
        <row r="1385">
          <cell r="J1385">
            <v>8080</v>
          </cell>
        </row>
        <row r="1386">
          <cell r="J1386">
            <v>11900</v>
          </cell>
        </row>
        <row r="1387">
          <cell r="J1387">
            <v>2996</v>
          </cell>
        </row>
        <row r="1388">
          <cell r="J1388">
            <v>22100</v>
          </cell>
          <cell r="Q1388">
            <v>25074</v>
          </cell>
        </row>
        <row r="1389">
          <cell r="J1389">
            <v>112110</v>
          </cell>
          <cell r="Q1389">
            <v>25107</v>
          </cell>
        </row>
        <row r="1390">
          <cell r="J1390">
            <v>381687.5</v>
          </cell>
          <cell r="Q1390">
            <v>25107</v>
          </cell>
        </row>
        <row r="1391">
          <cell r="J1391">
            <v>6600</v>
          </cell>
        </row>
        <row r="1392">
          <cell r="J1392">
            <v>6000</v>
          </cell>
        </row>
        <row r="1393">
          <cell r="J1393">
            <v>2576</v>
          </cell>
        </row>
        <row r="1394">
          <cell r="J1394">
            <v>7920</v>
          </cell>
        </row>
        <row r="1395">
          <cell r="J1395">
            <v>7500</v>
          </cell>
        </row>
        <row r="1396">
          <cell r="J1396">
            <v>4590</v>
          </cell>
          <cell r="Q1396">
            <v>25145</v>
          </cell>
        </row>
        <row r="1397">
          <cell r="J1397">
            <v>26920</v>
          </cell>
          <cell r="Q1397">
            <v>25037</v>
          </cell>
        </row>
        <row r="1398">
          <cell r="J1398">
            <v>34825</v>
          </cell>
        </row>
        <row r="1399">
          <cell r="J1399">
            <v>13695.000000000002</v>
          </cell>
        </row>
        <row r="1400">
          <cell r="J1400">
            <v>28800</v>
          </cell>
          <cell r="Q1400">
            <v>25075</v>
          </cell>
        </row>
        <row r="1401">
          <cell r="J1401">
            <v>20250</v>
          </cell>
        </row>
        <row r="1402">
          <cell r="J1402">
            <v>24600</v>
          </cell>
          <cell r="Q1402">
            <v>25063</v>
          </cell>
        </row>
        <row r="1403">
          <cell r="J1403">
            <v>12360</v>
          </cell>
        </row>
        <row r="1404">
          <cell r="J1404">
            <v>12120</v>
          </cell>
        </row>
        <row r="1405">
          <cell r="J1405">
            <v>30975</v>
          </cell>
        </row>
        <row r="1406">
          <cell r="J1406">
            <v>81325</v>
          </cell>
        </row>
        <row r="1407">
          <cell r="J1407">
            <v>2835</v>
          </cell>
          <cell r="Q1407">
            <v>26120</v>
          </cell>
        </row>
        <row r="1408">
          <cell r="J1408">
            <v>3682.5</v>
          </cell>
        </row>
        <row r="1409">
          <cell r="J1409">
            <v>20190</v>
          </cell>
          <cell r="Q1409">
            <v>25104</v>
          </cell>
        </row>
        <row r="1410">
          <cell r="J1410">
            <v>0</v>
          </cell>
        </row>
        <row r="1411">
          <cell r="J1411">
            <v>37905</v>
          </cell>
        </row>
        <row r="1412">
          <cell r="J1412">
            <v>11500</v>
          </cell>
          <cell r="Q1412">
            <v>25039</v>
          </cell>
        </row>
        <row r="1413">
          <cell r="J1413">
            <v>34575</v>
          </cell>
        </row>
        <row r="1414">
          <cell r="J1414">
            <v>32973</v>
          </cell>
        </row>
        <row r="1415">
          <cell r="J1415">
            <v>72375</v>
          </cell>
        </row>
        <row r="1416">
          <cell r="J1416">
            <v>25080</v>
          </cell>
        </row>
        <row r="1417">
          <cell r="J1417">
            <v>1585</v>
          </cell>
        </row>
        <row r="1418">
          <cell r="J1418">
            <v>1585</v>
          </cell>
        </row>
        <row r="1419">
          <cell r="J1419">
            <v>15477</v>
          </cell>
        </row>
        <row r="1420">
          <cell r="J1420">
            <v>6600</v>
          </cell>
        </row>
        <row r="1421">
          <cell r="J1421">
            <v>46590</v>
          </cell>
        </row>
        <row r="1422">
          <cell r="J1422">
            <v>46080</v>
          </cell>
        </row>
        <row r="1423">
          <cell r="J1423">
            <v>3200</v>
          </cell>
        </row>
        <row r="1424">
          <cell r="J1424">
            <v>10880</v>
          </cell>
        </row>
        <row r="1425">
          <cell r="J1425">
            <v>597000</v>
          </cell>
        </row>
        <row r="1426">
          <cell r="J1426">
            <v>3920</v>
          </cell>
          <cell r="Q1426">
            <v>26063</v>
          </cell>
        </row>
        <row r="1427">
          <cell r="J1427">
            <v>7350</v>
          </cell>
        </row>
        <row r="1428">
          <cell r="J1428">
            <v>4380</v>
          </cell>
        </row>
        <row r="1429">
          <cell r="J1429">
            <v>3800</v>
          </cell>
          <cell r="Q1429">
            <v>25054</v>
          </cell>
        </row>
        <row r="1430">
          <cell r="J1430">
            <v>18777</v>
          </cell>
        </row>
        <row r="1431">
          <cell r="J1431">
            <v>28680</v>
          </cell>
          <cell r="Q1431">
            <v>25091</v>
          </cell>
        </row>
        <row r="1432">
          <cell r="J1432">
            <v>16732</v>
          </cell>
          <cell r="Q1432">
            <v>25047</v>
          </cell>
        </row>
        <row r="1433">
          <cell r="J1433">
            <v>11060</v>
          </cell>
        </row>
        <row r="1434">
          <cell r="J1434">
            <v>34600</v>
          </cell>
          <cell r="Q1434">
            <v>25136</v>
          </cell>
        </row>
        <row r="1435">
          <cell r="J1435">
            <v>3988.0000000000009</v>
          </cell>
          <cell r="Q1435">
            <v>25080</v>
          </cell>
        </row>
        <row r="1436">
          <cell r="J1436">
            <v>56150</v>
          </cell>
          <cell r="Q1436">
            <v>25056</v>
          </cell>
        </row>
        <row r="1437">
          <cell r="J1437">
            <v>18200</v>
          </cell>
        </row>
        <row r="1438">
          <cell r="J1438">
            <v>3025</v>
          </cell>
          <cell r="Q1438">
            <v>25043</v>
          </cell>
        </row>
        <row r="1439">
          <cell r="J1439">
            <v>2295</v>
          </cell>
          <cell r="Q1439">
            <v>25043</v>
          </cell>
        </row>
        <row r="1440">
          <cell r="J1440">
            <v>2575</v>
          </cell>
          <cell r="Q1440">
            <v>25043</v>
          </cell>
        </row>
        <row r="1441">
          <cell r="J1441">
            <v>8347.5</v>
          </cell>
        </row>
        <row r="1442">
          <cell r="J1442">
            <v>3460</v>
          </cell>
        </row>
        <row r="1443">
          <cell r="J1443">
            <v>1944</v>
          </cell>
        </row>
        <row r="1444">
          <cell r="J1444">
            <v>2000</v>
          </cell>
          <cell r="Q1444">
            <v>25049</v>
          </cell>
        </row>
        <row r="1445">
          <cell r="J1445">
            <v>600</v>
          </cell>
        </row>
        <row r="1446">
          <cell r="J1446">
            <v>119175</v>
          </cell>
        </row>
        <row r="1447">
          <cell r="J1447">
            <v>3965</v>
          </cell>
        </row>
        <row r="1448">
          <cell r="J1448">
            <v>23600</v>
          </cell>
        </row>
        <row r="1449">
          <cell r="J1449">
            <v>12860</v>
          </cell>
        </row>
        <row r="1450">
          <cell r="J1450">
            <v>2438</v>
          </cell>
        </row>
        <row r="1451">
          <cell r="J1451">
            <v>19455</v>
          </cell>
          <cell r="Q1451">
            <v>25076</v>
          </cell>
        </row>
        <row r="1452">
          <cell r="J1452">
            <v>9272</v>
          </cell>
          <cell r="Q1452">
            <v>25095</v>
          </cell>
        </row>
        <row r="1453">
          <cell r="J1453">
            <v>11640</v>
          </cell>
          <cell r="Q1453">
            <v>25095</v>
          </cell>
        </row>
        <row r="1454">
          <cell r="J1454">
            <v>12143.999999999998</v>
          </cell>
          <cell r="Q1454">
            <v>25095</v>
          </cell>
        </row>
        <row r="1455">
          <cell r="J1455">
            <v>9108</v>
          </cell>
        </row>
        <row r="1456">
          <cell r="J1456">
            <v>1321.95</v>
          </cell>
          <cell r="Q1456">
            <v>25064</v>
          </cell>
        </row>
        <row r="1457">
          <cell r="J1457">
            <v>10740</v>
          </cell>
        </row>
        <row r="1458">
          <cell r="J1458">
            <v>13000</v>
          </cell>
        </row>
        <row r="1459">
          <cell r="J1459">
            <v>366000</v>
          </cell>
        </row>
        <row r="1460">
          <cell r="J1460">
            <v>20970</v>
          </cell>
        </row>
        <row r="1461">
          <cell r="J1461">
            <v>0</v>
          </cell>
        </row>
        <row r="1462">
          <cell r="J1462">
            <v>2716.25</v>
          </cell>
        </row>
        <row r="1463">
          <cell r="J1463">
            <v>6650</v>
          </cell>
        </row>
        <row r="1464">
          <cell r="J1464">
            <v>4984</v>
          </cell>
        </row>
        <row r="1465">
          <cell r="J1465">
            <v>19215</v>
          </cell>
        </row>
        <row r="1466">
          <cell r="J1466">
            <v>52412.100000000006</v>
          </cell>
          <cell r="Q1466">
            <v>25062</v>
          </cell>
        </row>
        <row r="1467">
          <cell r="J1467">
            <v>23104</v>
          </cell>
          <cell r="Q1467">
            <v>25061</v>
          </cell>
        </row>
        <row r="1468">
          <cell r="J1468">
            <v>11670</v>
          </cell>
        </row>
        <row r="1469">
          <cell r="J1469">
            <v>7481.7</v>
          </cell>
          <cell r="Q1469">
            <v>25060</v>
          </cell>
        </row>
        <row r="1470">
          <cell r="J1470">
            <v>7570</v>
          </cell>
        </row>
        <row r="1471">
          <cell r="J1471">
            <v>4525</v>
          </cell>
          <cell r="Q1471">
            <v>25079</v>
          </cell>
        </row>
        <row r="1472">
          <cell r="J1472">
            <v>19425</v>
          </cell>
          <cell r="Q1472">
            <v>25078</v>
          </cell>
        </row>
        <row r="1473">
          <cell r="J1473">
            <v>8961</v>
          </cell>
          <cell r="Q1473">
            <v>25077</v>
          </cell>
        </row>
        <row r="1474">
          <cell r="J1474">
            <v>7960</v>
          </cell>
          <cell r="Q1474">
            <v>25082</v>
          </cell>
        </row>
        <row r="1475">
          <cell r="J1475">
            <v>8100.0000000000018</v>
          </cell>
        </row>
        <row r="1476">
          <cell r="J1476">
            <v>39720</v>
          </cell>
        </row>
        <row r="1477">
          <cell r="J1477">
            <v>28900</v>
          </cell>
        </row>
        <row r="1478">
          <cell r="J1478">
            <v>12150</v>
          </cell>
        </row>
        <row r="1479">
          <cell r="J1479">
            <v>11812.5</v>
          </cell>
        </row>
        <row r="1480">
          <cell r="J1480">
            <v>20940</v>
          </cell>
        </row>
        <row r="1481">
          <cell r="J1481">
            <v>16623</v>
          </cell>
        </row>
        <row r="1482">
          <cell r="J1482">
            <v>860</v>
          </cell>
        </row>
        <row r="1483">
          <cell r="J1483">
            <v>8350</v>
          </cell>
        </row>
        <row r="1484">
          <cell r="J1484">
            <v>4224</v>
          </cell>
        </row>
        <row r="1485">
          <cell r="J1485">
            <v>0</v>
          </cell>
        </row>
        <row r="1486">
          <cell r="J1486">
            <v>24850</v>
          </cell>
        </row>
        <row r="1487">
          <cell r="J1487">
            <v>28371.599999999999</v>
          </cell>
          <cell r="Q1487">
            <v>25071</v>
          </cell>
        </row>
        <row r="1488">
          <cell r="J1488">
            <v>3486.0000000000005</v>
          </cell>
          <cell r="Q1488">
            <v>25096</v>
          </cell>
        </row>
        <row r="1489">
          <cell r="J1489">
            <v>63090</v>
          </cell>
        </row>
        <row r="1490">
          <cell r="J1490">
            <v>4680</v>
          </cell>
        </row>
        <row r="1491">
          <cell r="J1491">
            <v>35032.5</v>
          </cell>
          <cell r="Q1491">
            <v>25063</v>
          </cell>
        </row>
        <row r="1492">
          <cell r="J1492">
            <v>8590</v>
          </cell>
          <cell r="Q1492">
            <v>25064</v>
          </cell>
        </row>
        <row r="1493">
          <cell r="J1493">
            <v>26320</v>
          </cell>
          <cell r="Q1493">
            <v>25092</v>
          </cell>
        </row>
        <row r="1494">
          <cell r="J1494">
            <v>16380</v>
          </cell>
          <cell r="Q1494">
            <v>25092</v>
          </cell>
        </row>
        <row r="1495">
          <cell r="J1495">
            <v>16200</v>
          </cell>
        </row>
        <row r="1496">
          <cell r="J1496">
            <v>30992.5</v>
          </cell>
          <cell r="Q1496">
            <v>25083</v>
          </cell>
        </row>
        <row r="1497">
          <cell r="J1497">
            <v>26307.5</v>
          </cell>
          <cell r="Q1497">
            <v>25100</v>
          </cell>
        </row>
        <row r="1498">
          <cell r="J1498">
            <v>11180</v>
          </cell>
          <cell r="Q1498">
            <v>25174</v>
          </cell>
        </row>
        <row r="1499">
          <cell r="J1499">
            <v>21595</v>
          </cell>
        </row>
        <row r="1500">
          <cell r="J1500">
            <v>7510</v>
          </cell>
        </row>
        <row r="1501">
          <cell r="J1501">
            <v>7760</v>
          </cell>
          <cell r="Q1501">
            <v>25157</v>
          </cell>
        </row>
        <row r="1502">
          <cell r="J1502">
            <v>45524</v>
          </cell>
        </row>
        <row r="1503">
          <cell r="J1503">
            <v>32835</v>
          </cell>
        </row>
        <row r="1504">
          <cell r="J1504">
            <v>6270</v>
          </cell>
          <cell r="Q1504">
            <v>25081</v>
          </cell>
        </row>
        <row r="1505">
          <cell r="J1505">
            <v>12350</v>
          </cell>
          <cell r="Q1505">
            <v>25156</v>
          </cell>
        </row>
        <row r="1506">
          <cell r="J1506">
            <v>6720</v>
          </cell>
          <cell r="Q1506">
            <v>25087</v>
          </cell>
        </row>
        <row r="1507">
          <cell r="J1507">
            <v>26910.000000000004</v>
          </cell>
          <cell r="Q1507">
            <v>25135</v>
          </cell>
        </row>
        <row r="1508">
          <cell r="J1508">
            <v>4920</v>
          </cell>
          <cell r="Q1508">
            <v>25173</v>
          </cell>
        </row>
        <row r="1509">
          <cell r="J1509">
            <v>7916</v>
          </cell>
        </row>
        <row r="1510">
          <cell r="J1510">
            <v>44970</v>
          </cell>
          <cell r="Q1510">
            <v>25119</v>
          </cell>
        </row>
        <row r="1511">
          <cell r="J1511">
            <v>38675</v>
          </cell>
          <cell r="Q1511">
            <v>25093</v>
          </cell>
        </row>
        <row r="1512">
          <cell r="J1512">
            <v>15750</v>
          </cell>
          <cell r="Q1512">
            <v>25110</v>
          </cell>
        </row>
        <row r="1513">
          <cell r="J1513">
            <v>39000</v>
          </cell>
          <cell r="Q1513">
            <v>25088</v>
          </cell>
        </row>
        <row r="1514">
          <cell r="J1514">
            <v>21925</v>
          </cell>
        </row>
        <row r="1515">
          <cell r="J1515">
            <v>5120</v>
          </cell>
        </row>
        <row r="1516">
          <cell r="J1516">
            <v>14363.2</v>
          </cell>
          <cell r="Q1516">
            <v>25089</v>
          </cell>
        </row>
        <row r="1517">
          <cell r="J1517">
            <v>2310</v>
          </cell>
        </row>
        <row r="1518">
          <cell r="J1518">
            <v>4557</v>
          </cell>
        </row>
        <row r="1519">
          <cell r="J1519">
            <v>6320</v>
          </cell>
        </row>
        <row r="1520">
          <cell r="J1520">
            <v>6960</v>
          </cell>
        </row>
        <row r="1521">
          <cell r="J1521">
            <v>13140</v>
          </cell>
        </row>
        <row r="1522">
          <cell r="J1522">
            <v>4475</v>
          </cell>
        </row>
        <row r="1523">
          <cell r="J1523">
            <v>7632</v>
          </cell>
          <cell r="Q1523">
            <v>25084</v>
          </cell>
        </row>
        <row r="1524">
          <cell r="J1524">
            <v>9960</v>
          </cell>
        </row>
        <row r="1525">
          <cell r="J1525">
            <v>10800</v>
          </cell>
          <cell r="Q1525">
            <v>25120</v>
          </cell>
        </row>
        <row r="1526">
          <cell r="J1526">
            <v>0</v>
          </cell>
        </row>
        <row r="1527">
          <cell r="J1527">
            <v>4014.0000000000009</v>
          </cell>
          <cell r="Q1527">
            <v>25111</v>
          </cell>
        </row>
        <row r="1528">
          <cell r="J1528">
            <v>4050</v>
          </cell>
        </row>
        <row r="1529">
          <cell r="J1529">
            <v>9648</v>
          </cell>
        </row>
        <row r="1530">
          <cell r="J1530">
            <v>2028.6</v>
          </cell>
        </row>
        <row r="1531">
          <cell r="J1531">
            <v>2940</v>
          </cell>
          <cell r="Q1531">
            <v>25085</v>
          </cell>
        </row>
        <row r="1532">
          <cell r="J1532">
            <v>24150</v>
          </cell>
          <cell r="Q1532">
            <v>25102</v>
          </cell>
        </row>
        <row r="1533">
          <cell r="J1533">
            <v>16049.999999999998</v>
          </cell>
        </row>
        <row r="1534">
          <cell r="J1534">
            <v>6590</v>
          </cell>
          <cell r="Q1534">
            <v>25106</v>
          </cell>
        </row>
        <row r="1535">
          <cell r="J1535">
            <v>31650</v>
          </cell>
        </row>
        <row r="1536">
          <cell r="J1536">
            <v>19437.5</v>
          </cell>
        </row>
        <row r="1537">
          <cell r="J1537">
            <v>6170</v>
          </cell>
        </row>
        <row r="1538">
          <cell r="J1538">
            <v>12490</v>
          </cell>
        </row>
        <row r="1539">
          <cell r="J1539">
            <v>66405</v>
          </cell>
          <cell r="Q1539">
            <v>25115</v>
          </cell>
        </row>
        <row r="1540">
          <cell r="J1540">
            <v>2492</v>
          </cell>
        </row>
        <row r="1541">
          <cell r="J1541">
            <v>47880</v>
          </cell>
          <cell r="Q1541">
            <v>25114</v>
          </cell>
        </row>
        <row r="1542">
          <cell r="J1542">
            <v>24800</v>
          </cell>
        </row>
        <row r="1543">
          <cell r="J1543">
            <v>26200</v>
          </cell>
        </row>
        <row r="1544">
          <cell r="J1544">
            <v>4350</v>
          </cell>
        </row>
        <row r="1545">
          <cell r="J1545">
            <v>24975</v>
          </cell>
        </row>
        <row r="1546">
          <cell r="J1546">
            <v>2970</v>
          </cell>
        </row>
        <row r="1547">
          <cell r="J1547">
            <v>40199.999999999993</v>
          </cell>
        </row>
        <row r="1548">
          <cell r="J1548">
            <v>32044.999999999996</v>
          </cell>
          <cell r="Q1548">
            <v>25086</v>
          </cell>
        </row>
        <row r="1549">
          <cell r="J1549">
            <v>31225</v>
          </cell>
        </row>
        <row r="1550">
          <cell r="J1550">
            <v>59900</v>
          </cell>
          <cell r="Q1550">
            <v>25133</v>
          </cell>
        </row>
        <row r="1551">
          <cell r="J1551">
            <v>1935</v>
          </cell>
        </row>
        <row r="1552">
          <cell r="J1552">
            <v>5300</v>
          </cell>
        </row>
        <row r="1553">
          <cell r="J1553">
            <v>8832.4</v>
          </cell>
        </row>
        <row r="1554">
          <cell r="J1554">
            <v>9300</v>
          </cell>
          <cell r="Q1554">
            <v>25132</v>
          </cell>
        </row>
        <row r="1555">
          <cell r="J1555">
            <v>6450.5</v>
          </cell>
        </row>
        <row r="1556">
          <cell r="J1556">
            <v>7431</v>
          </cell>
        </row>
        <row r="1557">
          <cell r="J1557">
            <v>14031</v>
          </cell>
          <cell r="Q1557">
            <v>25240</v>
          </cell>
        </row>
        <row r="1558">
          <cell r="J1558">
            <v>4260</v>
          </cell>
        </row>
        <row r="1559">
          <cell r="J1559">
            <v>27000</v>
          </cell>
        </row>
        <row r="1560">
          <cell r="J1560">
            <v>50800</v>
          </cell>
        </row>
        <row r="1561">
          <cell r="J1561">
            <v>18700</v>
          </cell>
          <cell r="Q1561">
            <v>25109</v>
          </cell>
        </row>
        <row r="1562">
          <cell r="J1562">
            <v>26200</v>
          </cell>
          <cell r="Q1562">
            <v>25105</v>
          </cell>
        </row>
        <row r="1563">
          <cell r="J1563">
            <v>167815.19999999998</v>
          </cell>
          <cell r="Q1563">
            <v>25125</v>
          </cell>
        </row>
        <row r="1564">
          <cell r="J1564">
            <v>3000</v>
          </cell>
          <cell r="Q1564">
            <v>25103</v>
          </cell>
        </row>
        <row r="1565">
          <cell r="J1565">
            <v>2630</v>
          </cell>
        </row>
        <row r="1566">
          <cell r="J1566">
            <v>2225</v>
          </cell>
          <cell r="Q1566">
            <v>25103</v>
          </cell>
        </row>
        <row r="1567">
          <cell r="J1567">
            <v>14851.2</v>
          </cell>
          <cell r="Q1567">
            <v>25113</v>
          </cell>
        </row>
        <row r="1568">
          <cell r="J1568">
            <v>12140</v>
          </cell>
          <cell r="Q1568">
            <v>25099</v>
          </cell>
        </row>
        <row r="1569">
          <cell r="J1569">
            <v>9300</v>
          </cell>
        </row>
        <row r="1570">
          <cell r="J1570">
            <v>22580</v>
          </cell>
          <cell r="Q1570">
            <v>25090</v>
          </cell>
        </row>
        <row r="1571">
          <cell r="J1571">
            <v>10884.5</v>
          </cell>
          <cell r="Q1571">
            <v>25097</v>
          </cell>
        </row>
        <row r="1572">
          <cell r="J1572">
            <v>12345</v>
          </cell>
          <cell r="Q1572">
            <v>25195</v>
          </cell>
        </row>
        <row r="1573">
          <cell r="J1573">
            <v>1625</v>
          </cell>
        </row>
        <row r="1574">
          <cell r="J1574">
            <v>16274.999999999998</v>
          </cell>
          <cell r="Q1574">
            <v>25137</v>
          </cell>
        </row>
        <row r="1575">
          <cell r="J1575">
            <v>21544.95</v>
          </cell>
          <cell r="Q1575">
            <v>25112</v>
          </cell>
        </row>
        <row r="1576">
          <cell r="J1576">
            <v>1100</v>
          </cell>
          <cell r="Q1576">
            <v>25295</v>
          </cell>
        </row>
        <row r="1577">
          <cell r="J1577">
            <v>11875</v>
          </cell>
          <cell r="Q1577">
            <v>25155</v>
          </cell>
        </row>
        <row r="1578">
          <cell r="J1578">
            <v>18880</v>
          </cell>
        </row>
        <row r="1579">
          <cell r="J1579">
            <v>31955</v>
          </cell>
        </row>
        <row r="1580">
          <cell r="J1580">
            <v>28380</v>
          </cell>
          <cell r="Q1580">
            <v>25117</v>
          </cell>
        </row>
        <row r="1581">
          <cell r="J1581">
            <v>45465</v>
          </cell>
          <cell r="Q1581">
            <v>25210</v>
          </cell>
        </row>
        <row r="1582">
          <cell r="J1582">
            <v>34840</v>
          </cell>
        </row>
        <row r="1583">
          <cell r="J1583">
            <v>4410</v>
          </cell>
          <cell r="Q1583">
            <v>25161</v>
          </cell>
        </row>
        <row r="1584">
          <cell r="J1584">
            <v>6480</v>
          </cell>
          <cell r="Q1584">
            <v>25158</v>
          </cell>
        </row>
        <row r="1585">
          <cell r="J1585">
            <v>3200</v>
          </cell>
          <cell r="Q1585">
            <v>25121</v>
          </cell>
        </row>
        <row r="1586">
          <cell r="J1586">
            <v>111716.8</v>
          </cell>
        </row>
        <row r="1587">
          <cell r="J1587">
            <v>2230</v>
          </cell>
        </row>
        <row r="1588">
          <cell r="J1588">
            <v>5550</v>
          </cell>
        </row>
        <row r="1589">
          <cell r="J1589">
            <v>657</v>
          </cell>
        </row>
        <row r="1590">
          <cell r="J1590">
            <v>24200</v>
          </cell>
        </row>
        <row r="1591">
          <cell r="J1591">
            <v>5313.6</v>
          </cell>
          <cell r="Q1591">
            <v>25123</v>
          </cell>
        </row>
        <row r="1592">
          <cell r="J1592">
            <v>3267</v>
          </cell>
        </row>
        <row r="1593">
          <cell r="J1593">
            <v>10434</v>
          </cell>
        </row>
        <row r="1594">
          <cell r="J1594">
            <v>30711</v>
          </cell>
        </row>
        <row r="1595">
          <cell r="J1595">
            <v>12897.500000000002</v>
          </cell>
          <cell r="Q1595">
            <v>25130</v>
          </cell>
        </row>
        <row r="1596">
          <cell r="J1596">
            <v>9900</v>
          </cell>
        </row>
        <row r="1597">
          <cell r="J1597">
            <v>6360</v>
          </cell>
          <cell r="Q1597">
            <v>25182</v>
          </cell>
        </row>
        <row r="1598">
          <cell r="J1598">
            <v>15434.999999999998</v>
          </cell>
          <cell r="Q1598">
            <v>25168</v>
          </cell>
        </row>
        <row r="1599">
          <cell r="J1599">
            <v>303</v>
          </cell>
        </row>
        <row r="1600">
          <cell r="J1600">
            <v>1654.3</v>
          </cell>
        </row>
        <row r="1601">
          <cell r="J1601">
            <v>9120</v>
          </cell>
          <cell r="Q1601">
            <v>25134</v>
          </cell>
        </row>
        <row r="1602">
          <cell r="J1602">
            <v>22260</v>
          </cell>
          <cell r="Q1602">
            <v>25141</v>
          </cell>
        </row>
        <row r="1603">
          <cell r="J1603">
            <v>65586</v>
          </cell>
          <cell r="Q1603">
            <v>25129</v>
          </cell>
        </row>
        <row r="1604">
          <cell r="J1604">
            <v>27552</v>
          </cell>
        </row>
        <row r="1605">
          <cell r="J1605">
            <v>1509</v>
          </cell>
        </row>
        <row r="1606">
          <cell r="J1606">
            <v>12834</v>
          </cell>
        </row>
        <row r="1607">
          <cell r="J1607">
            <v>26946</v>
          </cell>
        </row>
        <row r="1608">
          <cell r="J1608">
            <v>1492</v>
          </cell>
        </row>
        <row r="1609">
          <cell r="J1609">
            <v>15560</v>
          </cell>
        </row>
        <row r="1610">
          <cell r="J1610">
            <v>1298</v>
          </cell>
        </row>
        <row r="1611">
          <cell r="J1611">
            <v>18720</v>
          </cell>
        </row>
        <row r="1612">
          <cell r="J1612">
            <v>18720</v>
          </cell>
        </row>
        <row r="1613">
          <cell r="J1613">
            <v>18720</v>
          </cell>
        </row>
        <row r="1614">
          <cell r="J1614">
            <v>73186</v>
          </cell>
          <cell r="Q1614">
            <v>25128</v>
          </cell>
        </row>
        <row r="1615">
          <cell r="J1615">
            <v>3275</v>
          </cell>
        </row>
        <row r="1616">
          <cell r="J1616">
            <v>2450</v>
          </cell>
        </row>
        <row r="1617">
          <cell r="J1617">
            <v>8400</v>
          </cell>
        </row>
        <row r="1618">
          <cell r="J1618">
            <v>5100</v>
          </cell>
        </row>
        <row r="1619">
          <cell r="J1619">
            <v>137800</v>
          </cell>
          <cell r="Q1619">
            <v>26036</v>
          </cell>
        </row>
        <row r="1620">
          <cell r="J1620">
            <v>21900</v>
          </cell>
          <cell r="Q1620">
            <v>25147</v>
          </cell>
        </row>
        <row r="1621">
          <cell r="J1621">
            <v>7520</v>
          </cell>
        </row>
        <row r="1622">
          <cell r="J1622">
            <v>26234.999999999996</v>
          </cell>
          <cell r="Q1622">
            <v>25124</v>
          </cell>
        </row>
        <row r="1623">
          <cell r="J1623">
            <v>31800</v>
          </cell>
          <cell r="Q1623">
            <v>25124</v>
          </cell>
        </row>
        <row r="1624">
          <cell r="J1624">
            <v>31800</v>
          </cell>
          <cell r="Q1624">
            <v>25124</v>
          </cell>
        </row>
        <row r="1625">
          <cell r="J1625">
            <v>26234.999999999996</v>
          </cell>
          <cell r="Q1625">
            <v>25124</v>
          </cell>
        </row>
        <row r="1626">
          <cell r="J1626">
            <v>16750</v>
          </cell>
          <cell r="Q1626">
            <v>26105</v>
          </cell>
        </row>
        <row r="1627">
          <cell r="J1627">
            <v>11300</v>
          </cell>
        </row>
        <row r="1628">
          <cell r="J1628">
            <v>14586</v>
          </cell>
        </row>
        <row r="1629">
          <cell r="J1629">
            <v>3686.9999999999991</v>
          </cell>
        </row>
        <row r="1630">
          <cell r="J1630">
            <v>2504</v>
          </cell>
          <cell r="Q1630">
            <v>25139</v>
          </cell>
        </row>
        <row r="1631">
          <cell r="J1631">
            <v>17640</v>
          </cell>
          <cell r="Q1631">
            <v>25138</v>
          </cell>
        </row>
        <row r="1632">
          <cell r="J1632">
            <v>0</v>
          </cell>
        </row>
        <row r="1633">
          <cell r="J1633">
            <v>1806</v>
          </cell>
        </row>
        <row r="1634">
          <cell r="J1634">
            <v>147564</v>
          </cell>
          <cell r="Q1634">
            <v>25188</v>
          </cell>
        </row>
        <row r="1635">
          <cell r="J1635">
            <v>87850</v>
          </cell>
          <cell r="Q1635">
            <v>25143</v>
          </cell>
        </row>
        <row r="1636">
          <cell r="J1636">
            <v>10980</v>
          </cell>
        </row>
        <row r="1637">
          <cell r="J1637">
            <v>4795</v>
          </cell>
        </row>
        <row r="1638">
          <cell r="J1638">
            <v>9200</v>
          </cell>
        </row>
        <row r="1639">
          <cell r="J1639">
            <v>3335</v>
          </cell>
        </row>
        <row r="1640">
          <cell r="J1640">
            <v>1250</v>
          </cell>
        </row>
        <row r="1641">
          <cell r="J1641">
            <v>23022</v>
          </cell>
        </row>
        <row r="1642">
          <cell r="J1642">
            <v>3420.0000000000005</v>
          </cell>
        </row>
        <row r="1643">
          <cell r="J1643">
            <v>3590</v>
          </cell>
        </row>
        <row r="1644">
          <cell r="J1644">
            <v>23683.7</v>
          </cell>
          <cell r="Q1644" t="str">
            <v>25200/25201</v>
          </cell>
        </row>
        <row r="1645">
          <cell r="J1645">
            <v>0</v>
          </cell>
        </row>
        <row r="1646">
          <cell r="J1646">
            <v>340000</v>
          </cell>
        </row>
        <row r="1647">
          <cell r="J1647">
            <v>30300</v>
          </cell>
        </row>
        <row r="1648">
          <cell r="J1648">
            <v>0</v>
          </cell>
        </row>
        <row r="1649">
          <cell r="J1649">
            <v>14930</v>
          </cell>
          <cell r="Q1649">
            <v>25166</v>
          </cell>
        </row>
        <row r="1650">
          <cell r="J1650">
            <v>10462.5</v>
          </cell>
        </row>
        <row r="1651">
          <cell r="J1651">
            <v>7994</v>
          </cell>
        </row>
        <row r="1652">
          <cell r="J1652">
            <v>9590</v>
          </cell>
        </row>
        <row r="1653">
          <cell r="J1653">
            <v>6732</v>
          </cell>
        </row>
        <row r="1654">
          <cell r="J1654">
            <v>18640</v>
          </cell>
        </row>
        <row r="1655">
          <cell r="J1655">
            <v>19299</v>
          </cell>
        </row>
        <row r="1656">
          <cell r="J1656">
            <v>10185</v>
          </cell>
        </row>
        <row r="1657">
          <cell r="J1657">
            <v>10060</v>
          </cell>
        </row>
        <row r="1658">
          <cell r="J1658">
            <v>10925</v>
          </cell>
        </row>
        <row r="1659">
          <cell r="J1659">
            <v>23970</v>
          </cell>
          <cell r="Q1659">
            <v>25379</v>
          </cell>
        </row>
        <row r="1660">
          <cell r="J1660">
            <v>11940</v>
          </cell>
        </row>
        <row r="1661">
          <cell r="J1661">
            <v>13410</v>
          </cell>
        </row>
        <row r="1662">
          <cell r="J1662">
            <v>8700</v>
          </cell>
        </row>
        <row r="1663">
          <cell r="J1663">
            <v>13799.999999999998</v>
          </cell>
        </row>
        <row r="1664">
          <cell r="J1664">
            <v>11010</v>
          </cell>
        </row>
        <row r="1665">
          <cell r="J1665">
            <v>13169.999999999998</v>
          </cell>
        </row>
        <row r="1666">
          <cell r="J1666">
            <v>25040</v>
          </cell>
          <cell r="Q1666">
            <v>25202</v>
          </cell>
        </row>
        <row r="1667">
          <cell r="J1667">
            <v>4350</v>
          </cell>
          <cell r="Q1667">
            <v>25148</v>
          </cell>
        </row>
        <row r="1668">
          <cell r="J1668">
            <v>14950</v>
          </cell>
        </row>
        <row r="1669">
          <cell r="J1669">
            <v>1380</v>
          </cell>
        </row>
        <row r="1670">
          <cell r="J1670">
            <v>3058.5</v>
          </cell>
        </row>
        <row r="1671">
          <cell r="J1671">
            <v>2622</v>
          </cell>
        </row>
        <row r="1672">
          <cell r="J1672">
            <v>2920</v>
          </cell>
        </row>
        <row r="1673">
          <cell r="J1673">
            <v>2419</v>
          </cell>
        </row>
        <row r="1674">
          <cell r="J1674">
            <v>2454</v>
          </cell>
        </row>
        <row r="1675">
          <cell r="J1675">
            <v>4527</v>
          </cell>
        </row>
        <row r="1676">
          <cell r="J1676">
            <v>19980</v>
          </cell>
        </row>
        <row r="1677">
          <cell r="J1677">
            <v>11955</v>
          </cell>
          <cell r="Q1677">
            <v>25150</v>
          </cell>
        </row>
        <row r="1678">
          <cell r="J1678">
            <v>7100</v>
          </cell>
        </row>
        <row r="1679">
          <cell r="J1679">
            <v>9290</v>
          </cell>
          <cell r="Q1679">
            <v>25170</v>
          </cell>
        </row>
        <row r="1680">
          <cell r="J1680">
            <v>4970</v>
          </cell>
        </row>
        <row r="1681">
          <cell r="J1681">
            <v>19000</v>
          </cell>
        </row>
        <row r="1682">
          <cell r="J1682">
            <v>4332</v>
          </cell>
        </row>
        <row r="1683">
          <cell r="J1683">
            <v>17977.5</v>
          </cell>
          <cell r="Q1683">
            <v>25152</v>
          </cell>
        </row>
        <row r="1684">
          <cell r="J1684">
            <v>32546.5</v>
          </cell>
          <cell r="Q1684">
            <v>25151</v>
          </cell>
        </row>
        <row r="1685">
          <cell r="J1685">
            <v>23850</v>
          </cell>
        </row>
        <row r="1686">
          <cell r="J1686">
            <v>6605</v>
          </cell>
        </row>
        <row r="1687">
          <cell r="J1687">
            <v>0</v>
          </cell>
        </row>
        <row r="1688">
          <cell r="J1688">
            <v>0</v>
          </cell>
        </row>
        <row r="1689">
          <cell r="J1689">
            <v>0</v>
          </cell>
        </row>
        <row r="1690">
          <cell r="J1690">
            <v>7365</v>
          </cell>
        </row>
        <row r="1691">
          <cell r="J1691">
            <v>59000</v>
          </cell>
        </row>
        <row r="1692">
          <cell r="J1692">
            <v>57807.5</v>
          </cell>
        </row>
        <row r="1693">
          <cell r="J1693">
            <v>123680</v>
          </cell>
        </row>
        <row r="1694">
          <cell r="J1694">
            <v>7117.5</v>
          </cell>
        </row>
        <row r="1695">
          <cell r="J1695">
            <v>3805</v>
          </cell>
          <cell r="Q1695">
            <v>25144</v>
          </cell>
        </row>
        <row r="1696">
          <cell r="J1696">
            <v>9700</v>
          </cell>
        </row>
        <row r="1697">
          <cell r="J1697">
            <v>3816</v>
          </cell>
        </row>
        <row r="1698">
          <cell r="J1698">
            <v>4590</v>
          </cell>
        </row>
        <row r="1699">
          <cell r="J1699">
            <v>4515</v>
          </cell>
        </row>
        <row r="1700">
          <cell r="J1700">
            <v>4515</v>
          </cell>
        </row>
        <row r="1701">
          <cell r="J1701">
            <v>2955</v>
          </cell>
        </row>
        <row r="1702">
          <cell r="J1702">
            <v>4230</v>
          </cell>
        </row>
        <row r="1703">
          <cell r="J1703">
            <v>4365</v>
          </cell>
        </row>
        <row r="1704">
          <cell r="J1704">
            <v>4305</v>
          </cell>
        </row>
        <row r="1705">
          <cell r="J1705">
            <v>4530</v>
          </cell>
        </row>
        <row r="1706">
          <cell r="J1706">
            <v>4275</v>
          </cell>
        </row>
        <row r="1707">
          <cell r="J1707">
            <v>4335</v>
          </cell>
        </row>
        <row r="1708">
          <cell r="J1708">
            <v>4290</v>
          </cell>
        </row>
        <row r="1709">
          <cell r="J1709">
            <v>283950</v>
          </cell>
        </row>
        <row r="1710">
          <cell r="J1710">
            <v>51545</v>
          </cell>
        </row>
        <row r="1711">
          <cell r="J1711">
            <v>9374</v>
          </cell>
        </row>
        <row r="1712">
          <cell r="J1712">
            <v>29290</v>
          </cell>
        </row>
        <row r="1713">
          <cell r="J1713">
            <v>13416</v>
          </cell>
        </row>
        <row r="1714">
          <cell r="J1714">
            <v>6864</v>
          </cell>
        </row>
        <row r="1715">
          <cell r="J1715">
            <v>6042</v>
          </cell>
        </row>
        <row r="1716">
          <cell r="J1716">
            <v>56721</v>
          </cell>
        </row>
        <row r="1717">
          <cell r="J1717">
            <v>8135.9999999999982</v>
          </cell>
        </row>
        <row r="1718">
          <cell r="J1718">
            <v>8415</v>
          </cell>
        </row>
        <row r="1719">
          <cell r="J1719">
            <v>7889.0000000000018</v>
          </cell>
        </row>
        <row r="1720">
          <cell r="J1720">
            <v>8658</v>
          </cell>
        </row>
        <row r="1721">
          <cell r="J1721">
            <v>46464</v>
          </cell>
        </row>
        <row r="1722">
          <cell r="J1722">
            <v>7095.0000000000009</v>
          </cell>
        </row>
        <row r="1723">
          <cell r="J1723">
            <v>16660</v>
          </cell>
        </row>
        <row r="1724">
          <cell r="J1724">
            <v>769505</v>
          </cell>
        </row>
        <row r="1725">
          <cell r="J1725">
            <v>109500</v>
          </cell>
        </row>
        <row r="1726">
          <cell r="J1726">
            <v>75010</v>
          </cell>
        </row>
        <row r="1727">
          <cell r="J1727">
            <v>15932</v>
          </cell>
        </row>
        <row r="1728">
          <cell r="J1728">
            <v>14880</v>
          </cell>
        </row>
        <row r="1729">
          <cell r="J1729">
            <v>5042.25</v>
          </cell>
        </row>
        <row r="1730">
          <cell r="J1730">
            <v>2108</v>
          </cell>
        </row>
        <row r="1731">
          <cell r="J1731">
            <v>1952.5</v>
          </cell>
        </row>
        <row r="1732">
          <cell r="J1732">
            <v>1790.25</v>
          </cell>
        </row>
        <row r="1733">
          <cell r="J1733">
            <v>1790.25</v>
          </cell>
        </row>
        <row r="1734">
          <cell r="J1734">
            <v>22225</v>
          </cell>
        </row>
        <row r="1735">
          <cell r="J1735">
            <v>1660</v>
          </cell>
        </row>
        <row r="1736">
          <cell r="J1736">
            <v>5578</v>
          </cell>
        </row>
        <row r="1737">
          <cell r="J1737">
            <v>0</v>
          </cell>
        </row>
        <row r="1738">
          <cell r="J1738">
            <v>42900</v>
          </cell>
        </row>
        <row r="1739">
          <cell r="J1739">
            <v>30760</v>
          </cell>
        </row>
        <row r="1740">
          <cell r="J1740">
            <v>7960</v>
          </cell>
        </row>
        <row r="1741">
          <cell r="J1741">
            <v>350</v>
          </cell>
        </row>
        <row r="1742">
          <cell r="J1742">
            <v>380</v>
          </cell>
        </row>
        <row r="1743">
          <cell r="J1743">
            <v>29860</v>
          </cell>
        </row>
        <row r="1744">
          <cell r="J1744">
            <v>3486</v>
          </cell>
          <cell r="Q1744">
            <v>25160</v>
          </cell>
        </row>
        <row r="1745">
          <cell r="J1745">
            <v>86933</v>
          </cell>
          <cell r="Q1745">
            <v>25186</v>
          </cell>
        </row>
        <row r="1746">
          <cell r="J1746">
            <v>29290</v>
          </cell>
        </row>
        <row r="1747">
          <cell r="J1747">
            <v>8590</v>
          </cell>
        </row>
        <row r="1748">
          <cell r="J1748">
            <v>80250</v>
          </cell>
        </row>
        <row r="1749">
          <cell r="J1749">
            <v>10272</v>
          </cell>
          <cell r="Q1749">
            <v>25183</v>
          </cell>
        </row>
        <row r="1750">
          <cell r="J1750">
            <v>7770</v>
          </cell>
          <cell r="Q1750">
            <v>25184</v>
          </cell>
        </row>
        <row r="1751">
          <cell r="J1751">
            <v>5800</v>
          </cell>
          <cell r="Q1751">
            <v>25185</v>
          </cell>
        </row>
        <row r="1752">
          <cell r="J1752">
            <v>9606.0000000000018</v>
          </cell>
          <cell r="Q1752">
            <v>25185</v>
          </cell>
        </row>
        <row r="1753">
          <cell r="J1753">
            <v>6524.9999999999991</v>
          </cell>
        </row>
        <row r="1754">
          <cell r="J1754">
            <v>10575</v>
          </cell>
        </row>
        <row r="1755">
          <cell r="J1755">
            <v>4570</v>
          </cell>
        </row>
        <row r="1756">
          <cell r="J1756">
            <v>2223</v>
          </cell>
        </row>
        <row r="1757">
          <cell r="J1757">
            <v>16048.8</v>
          </cell>
        </row>
        <row r="1758">
          <cell r="J1758">
            <v>6390</v>
          </cell>
        </row>
        <row r="1759">
          <cell r="J1759">
            <v>6830</v>
          </cell>
          <cell r="Q1759">
            <v>25187</v>
          </cell>
        </row>
        <row r="1760">
          <cell r="J1760">
            <v>7800</v>
          </cell>
          <cell r="Q1760">
            <v>25479</v>
          </cell>
        </row>
        <row r="1761">
          <cell r="J1761">
            <v>12090</v>
          </cell>
        </row>
        <row r="1762">
          <cell r="J1762">
            <v>13140</v>
          </cell>
          <cell r="Q1762">
            <v>25162</v>
          </cell>
        </row>
        <row r="1763">
          <cell r="J1763">
            <v>3252.0000000000005</v>
          </cell>
        </row>
        <row r="1764">
          <cell r="J1764">
            <v>3750</v>
          </cell>
        </row>
        <row r="1765">
          <cell r="J1765">
            <v>3420</v>
          </cell>
        </row>
        <row r="1766">
          <cell r="J1766">
            <v>21600</v>
          </cell>
          <cell r="Q1766">
            <v>25167</v>
          </cell>
        </row>
        <row r="1767">
          <cell r="J1767">
            <v>12350</v>
          </cell>
        </row>
        <row r="1768">
          <cell r="J1768">
            <v>4925</v>
          </cell>
        </row>
        <row r="1769">
          <cell r="J1769">
            <v>4908</v>
          </cell>
        </row>
        <row r="1770">
          <cell r="J1770">
            <v>61700</v>
          </cell>
          <cell r="Q1770">
            <v>26040</v>
          </cell>
        </row>
        <row r="1771">
          <cell r="J1771">
            <v>5754</v>
          </cell>
        </row>
        <row r="1772">
          <cell r="J1772">
            <v>4480</v>
          </cell>
        </row>
        <row r="1773">
          <cell r="J1773">
            <v>0</v>
          </cell>
        </row>
        <row r="1774">
          <cell r="J1774">
            <v>7483</v>
          </cell>
        </row>
        <row r="1775">
          <cell r="J1775">
            <v>4345</v>
          </cell>
        </row>
        <row r="1776">
          <cell r="J1776">
            <v>6475</v>
          </cell>
        </row>
        <row r="1777">
          <cell r="J1777">
            <v>5512</v>
          </cell>
        </row>
        <row r="1778">
          <cell r="J1778">
            <v>13374</v>
          </cell>
        </row>
        <row r="1779">
          <cell r="J1779">
            <v>8290</v>
          </cell>
        </row>
        <row r="1780">
          <cell r="J1780">
            <v>2600</v>
          </cell>
        </row>
        <row r="1781">
          <cell r="J1781">
            <v>12345</v>
          </cell>
          <cell r="Q1781">
            <v>25229</v>
          </cell>
        </row>
        <row r="1782">
          <cell r="J1782">
            <v>0</v>
          </cell>
          <cell r="Q1782">
            <v>25211</v>
          </cell>
        </row>
        <row r="1783">
          <cell r="J1783">
            <v>13169.999999999998</v>
          </cell>
        </row>
        <row r="1784">
          <cell r="J1784">
            <v>17700</v>
          </cell>
          <cell r="Q1784">
            <v>25175</v>
          </cell>
        </row>
        <row r="1785">
          <cell r="J1785">
            <v>8140.0000000000018</v>
          </cell>
        </row>
        <row r="1786">
          <cell r="J1786">
            <v>10180</v>
          </cell>
        </row>
        <row r="1787">
          <cell r="J1787">
            <v>11830</v>
          </cell>
        </row>
        <row r="1788">
          <cell r="J1788">
            <v>52800</v>
          </cell>
        </row>
        <row r="1789">
          <cell r="J1789">
            <v>24060</v>
          </cell>
        </row>
        <row r="1790">
          <cell r="J1790">
            <v>3216</v>
          </cell>
        </row>
        <row r="1791">
          <cell r="J1791">
            <v>2975</v>
          </cell>
          <cell r="Q1791">
            <v>25163</v>
          </cell>
        </row>
        <row r="1792">
          <cell r="J1792">
            <v>37700</v>
          </cell>
        </row>
        <row r="1793">
          <cell r="J1793">
            <v>50260</v>
          </cell>
          <cell r="Q1793">
            <v>25219</v>
          </cell>
        </row>
        <row r="1794">
          <cell r="J1794">
            <v>117140</v>
          </cell>
        </row>
        <row r="1795">
          <cell r="J1795">
            <v>14930.000000000002</v>
          </cell>
        </row>
        <row r="1796">
          <cell r="J1796">
            <v>60590</v>
          </cell>
          <cell r="Q1796">
            <v>25176</v>
          </cell>
        </row>
        <row r="1797">
          <cell r="J1797">
            <v>4674</v>
          </cell>
        </row>
        <row r="1798">
          <cell r="J1798">
            <v>6132</v>
          </cell>
        </row>
        <row r="1799">
          <cell r="J1799">
            <v>9498</v>
          </cell>
        </row>
        <row r="1800">
          <cell r="J1800">
            <v>5663</v>
          </cell>
        </row>
        <row r="1801">
          <cell r="J1801">
            <v>5390</v>
          </cell>
        </row>
        <row r="1802">
          <cell r="J1802">
            <v>4735</v>
          </cell>
        </row>
        <row r="1803">
          <cell r="J1803">
            <v>4375</v>
          </cell>
        </row>
        <row r="1804">
          <cell r="J1804">
            <v>4695</v>
          </cell>
        </row>
        <row r="1805">
          <cell r="J1805">
            <v>7614</v>
          </cell>
        </row>
        <row r="1806">
          <cell r="J1806">
            <v>4914</v>
          </cell>
        </row>
        <row r="1807">
          <cell r="J1807">
            <v>4094.9999999999991</v>
          </cell>
        </row>
        <row r="1808">
          <cell r="J1808">
            <v>6650</v>
          </cell>
        </row>
        <row r="1809">
          <cell r="J1809">
            <v>4300</v>
          </cell>
        </row>
        <row r="1810">
          <cell r="J1810">
            <v>58800</v>
          </cell>
        </row>
        <row r="1811">
          <cell r="J1811">
            <v>20880</v>
          </cell>
        </row>
        <row r="1812">
          <cell r="J1812">
            <v>17850</v>
          </cell>
        </row>
        <row r="1813">
          <cell r="J1813">
            <v>19530</v>
          </cell>
        </row>
        <row r="1814">
          <cell r="J1814">
            <v>19530</v>
          </cell>
        </row>
        <row r="1815">
          <cell r="J1815">
            <v>14610</v>
          </cell>
        </row>
        <row r="1816">
          <cell r="J1816">
            <v>67500</v>
          </cell>
          <cell r="Q1816">
            <v>25177</v>
          </cell>
        </row>
        <row r="1817">
          <cell r="J1817">
            <v>15720</v>
          </cell>
          <cell r="Q1817">
            <v>25180</v>
          </cell>
        </row>
        <row r="1818">
          <cell r="J1818">
            <v>12040</v>
          </cell>
          <cell r="Q1818">
            <v>25179</v>
          </cell>
        </row>
        <row r="1819">
          <cell r="J1819">
            <v>12645</v>
          </cell>
        </row>
        <row r="1820">
          <cell r="J1820">
            <v>349580</v>
          </cell>
          <cell r="Q1820">
            <v>25196</v>
          </cell>
        </row>
        <row r="1821">
          <cell r="J1821">
            <v>16800</v>
          </cell>
          <cell r="Q1821" t="str">
            <v>25220/25221</v>
          </cell>
        </row>
        <row r="1822">
          <cell r="J1822">
            <v>102000</v>
          </cell>
        </row>
        <row r="1823">
          <cell r="J1823">
            <v>5985</v>
          </cell>
        </row>
        <row r="1824">
          <cell r="J1824">
            <v>4095</v>
          </cell>
        </row>
        <row r="1825">
          <cell r="J1825">
            <v>81706.45</v>
          </cell>
        </row>
        <row r="1826">
          <cell r="J1826">
            <v>3800</v>
          </cell>
          <cell r="Q1826">
            <v>25216</v>
          </cell>
        </row>
        <row r="1827">
          <cell r="J1827">
            <v>72670</v>
          </cell>
        </row>
        <row r="1828">
          <cell r="J1828">
            <v>3396</v>
          </cell>
        </row>
        <row r="1829">
          <cell r="J1829">
            <v>9351</v>
          </cell>
        </row>
        <row r="1830">
          <cell r="J1830">
            <v>12542.4</v>
          </cell>
        </row>
        <row r="1831">
          <cell r="J1831">
            <v>17293.75</v>
          </cell>
        </row>
        <row r="1832">
          <cell r="J1832">
            <v>5150</v>
          </cell>
        </row>
        <row r="1833">
          <cell r="J1833">
            <v>23200</v>
          </cell>
        </row>
        <row r="1834">
          <cell r="J1834">
            <v>125490</v>
          </cell>
        </row>
        <row r="1835">
          <cell r="J1835">
            <v>12622.5</v>
          </cell>
        </row>
        <row r="1836">
          <cell r="J1836">
            <v>0</v>
          </cell>
        </row>
        <row r="1837">
          <cell r="J1837">
            <v>0</v>
          </cell>
        </row>
        <row r="1838">
          <cell r="J1838">
            <v>11392</v>
          </cell>
        </row>
        <row r="1839">
          <cell r="J1839">
            <v>201460</v>
          </cell>
          <cell r="Q1839">
            <v>25199</v>
          </cell>
        </row>
        <row r="1840">
          <cell r="J1840">
            <v>246869.99999999997</v>
          </cell>
          <cell r="Q1840">
            <v>25198</v>
          </cell>
        </row>
        <row r="1841">
          <cell r="J1841">
            <v>199017.00000000003</v>
          </cell>
          <cell r="Q1841">
            <v>25197</v>
          </cell>
        </row>
        <row r="1842">
          <cell r="J1842">
            <v>25948</v>
          </cell>
        </row>
        <row r="1843">
          <cell r="J1843">
            <v>1088.6400000000001</v>
          </cell>
        </row>
        <row r="1844">
          <cell r="J1844">
            <v>1760</v>
          </cell>
        </row>
        <row r="1845">
          <cell r="J1845">
            <v>22962</v>
          </cell>
          <cell r="Q1845">
            <v>25191</v>
          </cell>
        </row>
        <row r="1846">
          <cell r="J1846">
            <v>53325</v>
          </cell>
          <cell r="Q1846">
            <v>25190</v>
          </cell>
        </row>
        <row r="1847">
          <cell r="J1847">
            <v>3645</v>
          </cell>
        </row>
        <row r="1848">
          <cell r="J1848">
            <v>307200</v>
          </cell>
          <cell r="Q1848" t="str">
            <v>26026-26027-26028</v>
          </cell>
        </row>
        <row r="1849">
          <cell r="J1849">
            <v>77357</v>
          </cell>
          <cell r="Q1849">
            <v>25192</v>
          </cell>
        </row>
        <row r="1850">
          <cell r="J1850">
            <v>8064</v>
          </cell>
          <cell r="Q1850">
            <v>25205</v>
          </cell>
        </row>
        <row r="1851">
          <cell r="J1851">
            <v>59400</v>
          </cell>
          <cell r="Q1851">
            <v>25189</v>
          </cell>
        </row>
        <row r="1852">
          <cell r="J1852">
            <v>67155</v>
          </cell>
          <cell r="Q1852">
            <v>25193</v>
          </cell>
        </row>
        <row r="1853">
          <cell r="J1853">
            <v>3740</v>
          </cell>
          <cell r="Q1853">
            <v>25193</v>
          </cell>
        </row>
        <row r="1854">
          <cell r="J1854">
            <v>5990</v>
          </cell>
        </row>
        <row r="1855">
          <cell r="J1855">
            <v>9975</v>
          </cell>
          <cell r="Q1855">
            <v>26106</v>
          </cell>
        </row>
        <row r="1856">
          <cell r="J1856">
            <v>13500</v>
          </cell>
        </row>
        <row r="1857">
          <cell r="J1857">
            <v>2146.8000000000002</v>
          </cell>
        </row>
        <row r="1858">
          <cell r="J1858">
            <v>157950</v>
          </cell>
          <cell r="Q1858">
            <v>25204</v>
          </cell>
        </row>
        <row r="1859">
          <cell r="J1859">
            <v>20924.999999999996</v>
          </cell>
          <cell r="Q1859">
            <v>25204</v>
          </cell>
        </row>
        <row r="1860">
          <cell r="J1860">
            <v>7890</v>
          </cell>
          <cell r="Q1860">
            <v>25204</v>
          </cell>
        </row>
        <row r="1861">
          <cell r="J1861">
            <v>5170</v>
          </cell>
          <cell r="Q1861">
            <v>25204</v>
          </cell>
        </row>
        <row r="1862">
          <cell r="J1862">
            <v>6870</v>
          </cell>
          <cell r="Q1862">
            <v>25204</v>
          </cell>
        </row>
        <row r="1863">
          <cell r="J1863">
            <v>2200</v>
          </cell>
          <cell r="Q1863">
            <v>25204</v>
          </cell>
        </row>
        <row r="1864">
          <cell r="J1864">
            <v>2200</v>
          </cell>
          <cell r="Q1864">
            <v>25204</v>
          </cell>
        </row>
        <row r="1865">
          <cell r="J1865">
            <v>1466.7</v>
          </cell>
        </row>
        <row r="1866">
          <cell r="J1866">
            <v>11634.8</v>
          </cell>
          <cell r="Q1866">
            <v>25208</v>
          </cell>
        </row>
        <row r="1867">
          <cell r="J1867">
            <v>2082.5</v>
          </cell>
        </row>
        <row r="1868">
          <cell r="J1868">
            <v>6140</v>
          </cell>
          <cell r="Q1868">
            <v>25203</v>
          </cell>
        </row>
        <row r="1869">
          <cell r="J1869">
            <v>5970</v>
          </cell>
        </row>
        <row r="1870">
          <cell r="J1870">
            <v>0</v>
          </cell>
        </row>
        <row r="1871">
          <cell r="J1871">
            <v>10260</v>
          </cell>
        </row>
        <row r="1872">
          <cell r="J1872">
            <v>9660</v>
          </cell>
          <cell r="Q1872">
            <v>25209</v>
          </cell>
        </row>
        <row r="1873">
          <cell r="J1873">
            <v>19968</v>
          </cell>
        </row>
        <row r="1874">
          <cell r="J1874">
            <v>25948</v>
          </cell>
        </row>
        <row r="1875">
          <cell r="J1875">
            <v>25349.999999999996</v>
          </cell>
          <cell r="Q1875">
            <v>25247</v>
          </cell>
        </row>
        <row r="1876">
          <cell r="J1876">
            <v>218010</v>
          </cell>
        </row>
        <row r="1877">
          <cell r="J1877">
            <v>14460</v>
          </cell>
          <cell r="Q1877">
            <v>25217</v>
          </cell>
        </row>
        <row r="1878">
          <cell r="J1878">
            <v>10926.5</v>
          </cell>
        </row>
        <row r="1879">
          <cell r="J1879">
            <v>134998.5</v>
          </cell>
        </row>
        <row r="1880">
          <cell r="J1880">
            <v>22538</v>
          </cell>
        </row>
        <row r="1881">
          <cell r="J1881">
            <v>23825</v>
          </cell>
        </row>
        <row r="1882">
          <cell r="J1882">
            <v>9284</v>
          </cell>
        </row>
        <row r="1883">
          <cell r="J1883">
            <v>61700</v>
          </cell>
        </row>
        <row r="1884">
          <cell r="J1884">
            <v>9960</v>
          </cell>
          <cell r="Q1884">
            <v>25226</v>
          </cell>
        </row>
        <row r="1885">
          <cell r="J1885">
            <v>8490</v>
          </cell>
          <cell r="Q1885">
            <v>25225</v>
          </cell>
        </row>
        <row r="1886">
          <cell r="J1886">
            <v>65880</v>
          </cell>
        </row>
        <row r="1887">
          <cell r="J1887">
            <v>4884</v>
          </cell>
          <cell r="Q1887">
            <v>25218</v>
          </cell>
        </row>
        <row r="1888">
          <cell r="J1888">
            <v>8400</v>
          </cell>
        </row>
        <row r="1889">
          <cell r="J1889">
            <v>59800.000000000007</v>
          </cell>
        </row>
        <row r="1890">
          <cell r="J1890">
            <v>9000</v>
          </cell>
          <cell r="Q1890">
            <v>25227</v>
          </cell>
        </row>
        <row r="1891">
          <cell r="J1891">
            <v>57186.999999999993</v>
          </cell>
          <cell r="Q1891">
            <v>25212</v>
          </cell>
        </row>
        <row r="1892">
          <cell r="J1892">
            <v>13398</v>
          </cell>
          <cell r="Q1892">
            <v>25212</v>
          </cell>
        </row>
        <row r="1893">
          <cell r="J1893">
            <v>14248.000000000002</v>
          </cell>
        </row>
        <row r="1894">
          <cell r="J1894">
            <v>0</v>
          </cell>
        </row>
        <row r="1895">
          <cell r="J1895">
            <v>18320</v>
          </cell>
          <cell r="Q1895">
            <v>26022</v>
          </cell>
        </row>
        <row r="1896">
          <cell r="J1896">
            <v>15535</v>
          </cell>
        </row>
        <row r="1897">
          <cell r="J1897">
            <v>11840</v>
          </cell>
        </row>
        <row r="1898">
          <cell r="J1898">
            <v>9430</v>
          </cell>
        </row>
        <row r="1899">
          <cell r="J1899">
            <v>6950</v>
          </cell>
        </row>
        <row r="1900">
          <cell r="J1900">
            <v>5810</v>
          </cell>
        </row>
        <row r="1901">
          <cell r="J1901">
            <v>6640</v>
          </cell>
        </row>
        <row r="1902">
          <cell r="J1902">
            <v>7160</v>
          </cell>
          <cell r="Q1902">
            <v>26067</v>
          </cell>
        </row>
        <row r="1903">
          <cell r="J1903">
            <v>9390</v>
          </cell>
        </row>
        <row r="1904">
          <cell r="J1904">
            <v>16350</v>
          </cell>
          <cell r="Q1904">
            <v>25213</v>
          </cell>
        </row>
        <row r="1905">
          <cell r="J1905">
            <v>6980</v>
          </cell>
          <cell r="Q1905">
            <v>25214</v>
          </cell>
        </row>
        <row r="1906">
          <cell r="J1906">
            <v>6070</v>
          </cell>
        </row>
        <row r="1907">
          <cell r="J1907">
            <v>3285</v>
          </cell>
        </row>
        <row r="1908">
          <cell r="J1908">
            <v>12375</v>
          </cell>
          <cell r="Q1908">
            <v>25215</v>
          </cell>
        </row>
        <row r="1909">
          <cell r="J1909">
            <v>17100</v>
          </cell>
        </row>
        <row r="1910">
          <cell r="J1910">
            <v>11055</v>
          </cell>
          <cell r="Q1910">
            <v>26144</v>
          </cell>
        </row>
        <row r="1911">
          <cell r="J1911">
            <v>9930</v>
          </cell>
        </row>
        <row r="1912">
          <cell r="J1912">
            <v>119400</v>
          </cell>
          <cell r="Q1912">
            <v>25234</v>
          </cell>
        </row>
        <row r="1913">
          <cell r="J1913">
            <v>62880</v>
          </cell>
        </row>
        <row r="1914">
          <cell r="J1914">
            <v>8400</v>
          </cell>
        </row>
        <row r="1915">
          <cell r="J1915">
            <v>89700</v>
          </cell>
          <cell r="Q1915">
            <v>25235</v>
          </cell>
        </row>
        <row r="1916">
          <cell r="J1916">
            <v>64800.000000000007</v>
          </cell>
          <cell r="Q1916">
            <v>25236</v>
          </cell>
        </row>
        <row r="1917">
          <cell r="J1917">
            <v>55500</v>
          </cell>
          <cell r="Q1917">
            <v>25237</v>
          </cell>
        </row>
        <row r="1918">
          <cell r="J1918">
            <v>13062</v>
          </cell>
          <cell r="Q1918">
            <v>25238</v>
          </cell>
        </row>
        <row r="1919">
          <cell r="J1919">
            <v>13792.5</v>
          </cell>
          <cell r="Q1919">
            <v>25228</v>
          </cell>
        </row>
        <row r="1920">
          <cell r="J1920">
            <v>78050</v>
          </cell>
        </row>
        <row r="1921">
          <cell r="J1921">
            <v>3275</v>
          </cell>
        </row>
        <row r="1922">
          <cell r="J1922">
            <v>3895</v>
          </cell>
          <cell r="Q1922">
            <v>25224</v>
          </cell>
        </row>
        <row r="1923">
          <cell r="J1923">
            <v>72968.960000000006</v>
          </cell>
          <cell r="Q1923">
            <v>25232</v>
          </cell>
        </row>
        <row r="1924">
          <cell r="J1924">
            <v>153702.19999999998</v>
          </cell>
        </row>
        <row r="1925">
          <cell r="J1925">
            <v>27200</v>
          </cell>
          <cell r="Q1925">
            <v>25239</v>
          </cell>
        </row>
        <row r="1926">
          <cell r="J1926">
            <v>0</v>
          </cell>
        </row>
        <row r="1927">
          <cell r="J1927">
            <v>1797</v>
          </cell>
        </row>
        <row r="1928">
          <cell r="J1928">
            <v>1549.9</v>
          </cell>
        </row>
        <row r="1929">
          <cell r="J1929">
            <v>2118</v>
          </cell>
        </row>
        <row r="1930">
          <cell r="J1930">
            <v>90720</v>
          </cell>
          <cell r="Q1930">
            <v>26033</v>
          </cell>
        </row>
        <row r="1931">
          <cell r="J1931">
            <v>5850</v>
          </cell>
        </row>
        <row r="1932">
          <cell r="J1932">
            <v>20925</v>
          </cell>
        </row>
        <row r="1933">
          <cell r="J1933">
            <v>4535</v>
          </cell>
        </row>
        <row r="1934">
          <cell r="J1934">
            <v>30040</v>
          </cell>
        </row>
        <row r="1935">
          <cell r="J1935">
            <v>216930</v>
          </cell>
        </row>
        <row r="1936">
          <cell r="J1936">
            <v>195360</v>
          </cell>
          <cell r="Q1936">
            <v>25149</v>
          </cell>
        </row>
        <row r="1937">
          <cell r="J1937">
            <v>31500</v>
          </cell>
          <cell r="Q1937">
            <v>25233</v>
          </cell>
        </row>
        <row r="1938">
          <cell r="J1938">
            <v>69360</v>
          </cell>
          <cell r="Q1938">
            <v>25249</v>
          </cell>
        </row>
        <row r="1939">
          <cell r="J1939">
            <v>15794.999999999998</v>
          </cell>
          <cell r="Q1939">
            <v>25250</v>
          </cell>
        </row>
        <row r="1940">
          <cell r="J1940">
            <v>26083.199999999997</v>
          </cell>
          <cell r="Q1940">
            <v>25251</v>
          </cell>
        </row>
        <row r="1941">
          <cell r="J1941">
            <v>27219.5</v>
          </cell>
          <cell r="Q1941">
            <v>25252</v>
          </cell>
        </row>
        <row r="1942">
          <cell r="J1942">
            <v>150030</v>
          </cell>
        </row>
        <row r="1943">
          <cell r="J1943">
            <v>35750</v>
          </cell>
          <cell r="Q1943">
            <v>26147</v>
          </cell>
        </row>
        <row r="1944">
          <cell r="J1944">
            <v>10756</v>
          </cell>
        </row>
        <row r="1945">
          <cell r="J1945">
            <v>61000</v>
          </cell>
        </row>
        <row r="1946">
          <cell r="J1946">
            <v>15246</v>
          </cell>
        </row>
        <row r="1947">
          <cell r="J1947">
            <v>129300</v>
          </cell>
        </row>
        <row r="1948">
          <cell r="J1948">
            <v>3500</v>
          </cell>
        </row>
        <row r="1949">
          <cell r="J1949">
            <v>3500</v>
          </cell>
        </row>
        <row r="1950">
          <cell r="J1950">
            <v>9650</v>
          </cell>
        </row>
        <row r="1951">
          <cell r="J1951">
            <v>52400</v>
          </cell>
        </row>
        <row r="1952">
          <cell r="J1952">
            <v>113550</v>
          </cell>
        </row>
        <row r="1953">
          <cell r="J1953">
            <v>8977.5</v>
          </cell>
          <cell r="Q1953">
            <v>25241</v>
          </cell>
        </row>
        <row r="1954">
          <cell r="J1954">
            <v>3379.9999999999995</v>
          </cell>
        </row>
        <row r="1955">
          <cell r="J1955">
            <v>5680</v>
          </cell>
        </row>
        <row r="1956">
          <cell r="J1956">
            <v>790</v>
          </cell>
        </row>
        <row r="1957">
          <cell r="J1957">
            <v>7470</v>
          </cell>
          <cell r="Q1957">
            <v>26037</v>
          </cell>
        </row>
        <row r="1958">
          <cell r="J1958">
            <v>16620</v>
          </cell>
        </row>
        <row r="1959">
          <cell r="J1959">
            <v>4025.0000000000009</v>
          </cell>
        </row>
        <row r="1960">
          <cell r="J1960">
            <v>20145</v>
          </cell>
        </row>
        <row r="1961">
          <cell r="J1961">
            <v>4975</v>
          </cell>
        </row>
        <row r="1962">
          <cell r="J1962">
            <v>1299</v>
          </cell>
          <cell r="Q1962">
            <v>26009</v>
          </cell>
        </row>
        <row r="1963">
          <cell r="J1963">
            <v>7776.0000000000018</v>
          </cell>
        </row>
        <row r="1964">
          <cell r="J1964">
            <v>12230</v>
          </cell>
        </row>
        <row r="1965">
          <cell r="J1965">
            <v>39000</v>
          </cell>
        </row>
        <row r="1966">
          <cell r="J1966">
            <v>6948</v>
          </cell>
          <cell r="Q1966">
            <v>26029</v>
          </cell>
        </row>
        <row r="1967">
          <cell r="J1967">
            <v>576</v>
          </cell>
        </row>
        <row r="1968">
          <cell r="J1968">
            <v>3244.5</v>
          </cell>
        </row>
        <row r="1969">
          <cell r="J1969">
            <v>10672</v>
          </cell>
          <cell r="Q1969">
            <v>26015</v>
          </cell>
        </row>
        <row r="1970">
          <cell r="J1970">
            <v>2060</v>
          </cell>
        </row>
        <row r="1971">
          <cell r="J1971">
            <v>9470</v>
          </cell>
        </row>
        <row r="1972">
          <cell r="J1972">
            <v>5984</v>
          </cell>
          <cell r="Q1972">
            <v>26042</v>
          </cell>
        </row>
        <row r="1973">
          <cell r="J1973">
            <v>1756</v>
          </cell>
          <cell r="Q1973">
            <v>25246</v>
          </cell>
        </row>
        <row r="1974">
          <cell r="J1974">
            <v>3850</v>
          </cell>
        </row>
        <row r="1975">
          <cell r="J1975">
            <v>6111</v>
          </cell>
        </row>
        <row r="1976">
          <cell r="J1976">
            <v>4900</v>
          </cell>
        </row>
        <row r="1977">
          <cell r="J1977">
            <v>30000</v>
          </cell>
        </row>
        <row r="1978">
          <cell r="J1978">
            <v>197400</v>
          </cell>
          <cell r="Q1978">
            <v>26077</v>
          </cell>
        </row>
        <row r="1979">
          <cell r="J1979">
            <v>4734</v>
          </cell>
        </row>
        <row r="1980">
          <cell r="J1980">
            <v>108000</v>
          </cell>
        </row>
        <row r="1981">
          <cell r="J1981">
            <v>34950</v>
          </cell>
          <cell r="Q1981">
            <v>25248</v>
          </cell>
        </row>
        <row r="1982">
          <cell r="J1982">
            <v>8880</v>
          </cell>
        </row>
        <row r="1983">
          <cell r="J1983">
            <v>5559</v>
          </cell>
          <cell r="Q1983">
            <v>25245</v>
          </cell>
        </row>
        <row r="1984">
          <cell r="J1984">
            <v>5310</v>
          </cell>
          <cell r="Q1984">
            <v>26008</v>
          </cell>
        </row>
        <row r="1985">
          <cell r="J1985">
            <v>5930</v>
          </cell>
          <cell r="Q1985">
            <v>26008</v>
          </cell>
        </row>
        <row r="1986">
          <cell r="J1986">
            <v>28105</v>
          </cell>
        </row>
        <row r="1987">
          <cell r="J1987">
            <v>27029.999999999996</v>
          </cell>
          <cell r="Q1987">
            <v>26006</v>
          </cell>
        </row>
        <row r="1988">
          <cell r="J1988">
            <v>2504</v>
          </cell>
          <cell r="Q1988">
            <v>26003</v>
          </cell>
        </row>
        <row r="1989">
          <cell r="J1989">
            <v>34950</v>
          </cell>
          <cell r="Q1989">
            <v>26021</v>
          </cell>
        </row>
        <row r="1990">
          <cell r="J1990">
            <v>8775</v>
          </cell>
        </row>
        <row r="1991">
          <cell r="J1991">
            <v>5760</v>
          </cell>
          <cell r="Q1991">
            <v>26014</v>
          </cell>
        </row>
        <row r="1992">
          <cell r="J1992">
            <v>6502.5</v>
          </cell>
          <cell r="Q1992">
            <v>26010</v>
          </cell>
        </row>
        <row r="1993">
          <cell r="J1993">
            <v>7160</v>
          </cell>
          <cell r="Q1993">
            <v>26012</v>
          </cell>
        </row>
        <row r="1994">
          <cell r="J1994">
            <v>9320</v>
          </cell>
          <cell r="Q1994">
            <v>26011</v>
          </cell>
        </row>
        <row r="1995">
          <cell r="J1995">
            <v>4872</v>
          </cell>
          <cell r="Q1995">
            <v>26013</v>
          </cell>
        </row>
        <row r="1996">
          <cell r="J1996">
            <v>7350</v>
          </cell>
        </row>
        <row r="1997">
          <cell r="J1997">
            <v>4650</v>
          </cell>
        </row>
        <row r="1998">
          <cell r="J1998">
            <v>3979.9999999999991</v>
          </cell>
        </row>
        <row r="1999">
          <cell r="J1999">
            <v>5490</v>
          </cell>
        </row>
        <row r="2000">
          <cell r="J2000">
            <v>5859</v>
          </cell>
        </row>
        <row r="2001">
          <cell r="J2001">
            <v>12900</v>
          </cell>
        </row>
        <row r="2002">
          <cell r="J2002">
            <v>5840</v>
          </cell>
        </row>
        <row r="2003">
          <cell r="J2003">
            <v>3555</v>
          </cell>
        </row>
        <row r="2004">
          <cell r="J2004">
            <v>89550</v>
          </cell>
          <cell r="Q2004">
            <v>26141</v>
          </cell>
        </row>
        <row r="2005">
          <cell r="J2005">
            <v>4783.5</v>
          </cell>
        </row>
        <row r="2006">
          <cell r="J2006">
            <v>121250</v>
          </cell>
        </row>
        <row r="2007">
          <cell r="J2007">
            <v>151900</v>
          </cell>
        </row>
        <row r="2008">
          <cell r="J2008">
            <v>11704</v>
          </cell>
        </row>
        <row r="2009">
          <cell r="J2009">
            <v>9120</v>
          </cell>
        </row>
        <row r="2010">
          <cell r="J2010">
            <v>14175</v>
          </cell>
        </row>
        <row r="2011">
          <cell r="J2011">
            <v>4036</v>
          </cell>
        </row>
        <row r="2012">
          <cell r="J2012">
            <v>13690</v>
          </cell>
          <cell r="Q2012">
            <v>26020</v>
          </cell>
        </row>
        <row r="2013">
          <cell r="J2013">
            <v>7494</v>
          </cell>
        </row>
        <row r="2014">
          <cell r="J2014">
            <v>27580</v>
          </cell>
        </row>
        <row r="2015">
          <cell r="J2015">
            <v>9150</v>
          </cell>
        </row>
        <row r="2016">
          <cell r="J2016">
            <v>4990</v>
          </cell>
        </row>
        <row r="2017">
          <cell r="J2017">
            <v>5920</v>
          </cell>
          <cell r="Q2017">
            <v>26050</v>
          </cell>
        </row>
        <row r="2018">
          <cell r="J2018">
            <v>21600</v>
          </cell>
        </row>
        <row r="2019">
          <cell r="J2019">
            <v>5921.9999999999991</v>
          </cell>
        </row>
        <row r="2020">
          <cell r="J2020">
            <v>46800</v>
          </cell>
          <cell r="Q2020">
            <v>26016</v>
          </cell>
        </row>
        <row r="2021">
          <cell r="J2021">
            <v>53557.999999999993</v>
          </cell>
        </row>
        <row r="2022">
          <cell r="J2022">
            <v>4450</v>
          </cell>
          <cell r="Q2022">
            <v>26018</v>
          </cell>
        </row>
        <row r="2023">
          <cell r="J2023">
            <v>6915</v>
          </cell>
        </row>
        <row r="2024">
          <cell r="J2024">
            <v>7235</v>
          </cell>
          <cell r="Q2024">
            <v>26004</v>
          </cell>
        </row>
        <row r="2025">
          <cell r="J2025">
            <v>22640</v>
          </cell>
        </row>
        <row r="2026">
          <cell r="J2026">
            <v>8520</v>
          </cell>
          <cell r="Q2026">
            <v>26098</v>
          </cell>
        </row>
        <row r="2027">
          <cell r="J2027">
            <v>3511.9999999999995</v>
          </cell>
        </row>
        <row r="2028">
          <cell r="J2028">
            <v>1400.8</v>
          </cell>
        </row>
        <row r="2029">
          <cell r="J2029">
            <v>14312</v>
          </cell>
          <cell r="Q2029">
            <v>26023</v>
          </cell>
        </row>
        <row r="2030">
          <cell r="J2030">
            <v>9550</v>
          </cell>
        </row>
        <row r="2031">
          <cell r="J2031">
            <v>5937.2999999999993</v>
          </cell>
          <cell r="Q2031">
            <v>26055</v>
          </cell>
        </row>
        <row r="2032">
          <cell r="J2032">
            <v>16170.000000000002</v>
          </cell>
          <cell r="Q2032">
            <v>26056</v>
          </cell>
        </row>
        <row r="2033">
          <cell r="J2033">
            <v>28000.000000000004</v>
          </cell>
        </row>
        <row r="2034">
          <cell r="J2034">
            <v>42875</v>
          </cell>
        </row>
        <row r="2035">
          <cell r="J2035">
            <v>44625</v>
          </cell>
        </row>
        <row r="2036">
          <cell r="J2036">
            <v>36250</v>
          </cell>
        </row>
        <row r="2037">
          <cell r="J2037">
            <v>22625</v>
          </cell>
        </row>
        <row r="2038">
          <cell r="J2038">
            <v>26000</v>
          </cell>
        </row>
        <row r="2039">
          <cell r="J2039">
            <v>36625</v>
          </cell>
        </row>
        <row r="2040">
          <cell r="J2040">
            <v>36750</v>
          </cell>
        </row>
        <row r="2041">
          <cell r="J2041">
            <v>29850</v>
          </cell>
        </row>
        <row r="2042">
          <cell r="J2042">
            <v>22400.000000000004</v>
          </cell>
        </row>
        <row r="2043">
          <cell r="J2043">
            <v>14980</v>
          </cell>
          <cell r="Q2043">
            <v>26007</v>
          </cell>
        </row>
        <row r="2044">
          <cell r="J2044">
            <v>13390</v>
          </cell>
        </row>
        <row r="2045">
          <cell r="J2045">
            <v>54300.000000000007</v>
          </cell>
          <cell r="Q2045">
            <v>26152</v>
          </cell>
        </row>
        <row r="2046">
          <cell r="J2046">
            <v>18900</v>
          </cell>
          <cell r="Q2046">
            <v>26077</v>
          </cell>
        </row>
        <row r="2047">
          <cell r="J2047">
            <v>19680</v>
          </cell>
        </row>
        <row r="2048">
          <cell r="J2048">
            <v>186250</v>
          </cell>
        </row>
        <row r="2049">
          <cell r="J2049">
            <v>46500</v>
          </cell>
          <cell r="Q2049">
            <v>26039</v>
          </cell>
        </row>
        <row r="2050">
          <cell r="J2050">
            <v>7485</v>
          </cell>
          <cell r="Q2050">
            <v>26039</v>
          </cell>
        </row>
        <row r="2051">
          <cell r="J2051">
            <v>6840.0000000000009</v>
          </cell>
          <cell r="Q2051">
            <v>26029</v>
          </cell>
        </row>
        <row r="2052">
          <cell r="J2052">
            <v>115200</v>
          </cell>
        </row>
        <row r="2053">
          <cell r="J2053">
            <v>93750</v>
          </cell>
        </row>
        <row r="2054">
          <cell r="J2054">
            <v>67650</v>
          </cell>
        </row>
        <row r="2055">
          <cell r="J2055">
            <v>32400</v>
          </cell>
        </row>
        <row r="2056">
          <cell r="J2056">
            <v>544800</v>
          </cell>
        </row>
        <row r="2057">
          <cell r="J2057">
            <v>103200</v>
          </cell>
        </row>
        <row r="2058">
          <cell r="J2058">
            <v>2137.5</v>
          </cell>
        </row>
        <row r="2059">
          <cell r="J2059">
            <v>4990</v>
          </cell>
        </row>
        <row r="2060">
          <cell r="J2060">
            <v>1962.5</v>
          </cell>
        </row>
        <row r="2061">
          <cell r="J2061">
            <v>4290</v>
          </cell>
        </row>
        <row r="2062">
          <cell r="J2062">
            <v>87350</v>
          </cell>
          <cell r="Q2062">
            <v>26059</v>
          </cell>
        </row>
        <row r="2063">
          <cell r="J2063">
            <v>7546</v>
          </cell>
          <cell r="Q2063">
            <v>26031</v>
          </cell>
        </row>
        <row r="2064">
          <cell r="J2064">
            <v>5295</v>
          </cell>
        </row>
        <row r="2065">
          <cell r="J2065">
            <v>6780</v>
          </cell>
          <cell r="Q2065">
            <v>26087</v>
          </cell>
        </row>
        <row r="2066">
          <cell r="J2066">
            <v>52875</v>
          </cell>
        </row>
        <row r="2067">
          <cell r="J2067">
            <v>0</v>
          </cell>
        </row>
        <row r="2068">
          <cell r="J2068">
            <v>6025</v>
          </cell>
        </row>
        <row r="2069">
          <cell r="J2069">
            <v>5775</v>
          </cell>
        </row>
        <row r="2070">
          <cell r="J2070">
            <v>6475</v>
          </cell>
        </row>
        <row r="2071">
          <cell r="J2071">
            <v>30060</v>
          </cell>
          <cell r="Q2071">
            <v>26140</v>
          </cell>
        </row>
        <row r="2072">
          <cell r="J2072">
            <v>28756</v>
          </cell>
        </row>
        <row r="2073">
          <cell r="J2073">
            <v>29760</v>
          </cell>
          <cell r="Q2073">
            <v>26043</v>
          </cell>
        </row>
        <row r="2074">
          <cell r="J2074">
            <v>36655.46</v>
          </cell>
        </row>
        <row r="2075">
          <cell r="J2075">
            <v>17200</v>
          </cell>
        </row>
        <row r="2076">
          <cell r="J2076">
            <v>29500</v>
          </cell>
        </row>
        <row r="2077">
          <cell r="J2077">
            <v>8100.0000000000018</v>
          </cell>
          <cell r="Q2077">
            <v>26070</v>
          </cell>
        </row>
        <row r="2078">
          <cell r="J2078">
            <v>7990</v>
          </cell>
        </row>
        <row r="2079">
          <cell r="J2079">
            <v>19200</v>
          </cell>
          <cell r="Q2079">
            <v>26035</v>
          </cell>
        </row>
        <row r="2080">
          <cell r="J2080">
            <v>4695</v>
          </cell>
        </row>
        <row r="2081">
          <cell r="J2081">
            <v>30600</v>
          </cell>
        </row>
        <row r="2082">
          <cell r="J2082">
            <v>11580</v>
          </cell>
          <cell r="Q2082">
            <v>26083</v>
          </cell>
        </row>
        <row r="2083">
          <cell r="J2083">
            <v>23187.999999999996</v>
          </cell>
        </row>
        <row r="2084">
          <cell r="J2084">
            <v>133500</v>
          </cell>
        </row>
        <row r="2085">
          <cell r="J2085">
            <v>141000</v>
          </cell>
        </row>
        <row r="2086">
          <cell r="J2086">
            <v>28800</v>
          </cell>
        </row>
        <row r="2087">
          <cell r="J2087">
            <v>11475</v>
          </cell>
        </row>
        <row r="2088">
          <cell r="J2088">
            <v>33875</v>
          </cell>
          <cell r="Q2088">
            <v>26062</v>
          </cell>
        </row>
        <row r="2089">
          <cell r="J2089">
            <v>5142.5</v>
          </cell>
          <cell r="Q2089">
            <v>26048</v>
          </cell>
        </row>
        <row r="2090">
          <cell r="J2090">
            <v>7450</v>
          </cell>
        </row>
        <row r="2091">
          <cell r="J2091">
            <v>4365</v>
          </cell>
        </row>
        <row r="2092">
          <cell r="J2092">
            <v>37350</v>
          </cell>
        </row>
        <row r="2093">
          <cell r="J2093">
            <v>2257.1999999999998</v>
          </cell>
          <cell r="Q2093">
            <v>26038</v>
          </cell>
        </row>
        <row r="2094">
          <cell r="J2094">
            <v>29800</v>
          </cell>
          <cell r="Q2094">
            <v>26030</v>
          </cell>
        </row>
        <row r="2095">
          <cell r="J2095">
            <v>0</v>
          </cell>
        </row>
        <row r="2096">
          <cell r="J2096">
            <v>42250</v>
          </cell>
        </row>
        <row r="2097">
          <cell r="J2097">
            <v>21660</v>
          </cell>
        </row>
        <row r="2098">
          <cell r="J2098">
            <v>7128.0000000000009</v>
          </cell>
        </row>
        <row r="2099">
          <cell r="J2099">
            <v>12540</v>
          </cell>
          <cell r="Q2099">
            <v>26032</v>
          </cell>
        </row>
        <row r="2100">
          <cell r="J2100">
            <v>31300</v>
          </cell>
          <cell r="Q2100">
            <v>26034</v>
          </cell>
        </row>
        <row r="2101">
          <cell r="J2101">
            <v>7260</v>
          </cell>
          <cell r="Q2101">
            <v>26041</v>
          </cell>
        </row>
        <row r="2102">
          <cell r="J2102">
            <v>19060</v>
          </cell>
          <cell r="Q2102">
            <v>26121</v>
          </cell>
        </row>
        <row r="2103">
          <cell r="J2103">
            <v>19100</v>
          </cell>
          <cell r="Q2103">
            <v>26096</v>
          </cell>
        </row>
        <row r="2104">
          <cell r="J2104">
            <v>33380</v>
          </cell>
          <cell r="Q2104">
            <v>26049</v>
          </cell>
        </row>
        <row r="2105">
          <cell r="J2105">
            <v>167160</v>
          </cell>
          <cell r="Q2105">
            <v>26081</v>
          </cell>
        </row>
        <row r="2106">
          <cell r="J2106">
            <v>39750</v>
          </cell>
        </row>
        <row r="2107">
          <cell r="J2107">
            <v>47000</v>
          </cell>
          <cell r="Q2107">
            <v>26054</v>
          </cell>
        </row>
        <row r="2108">
          <cell r="J2108">
            <v>55141.8</v>
          </cell>
        </row>
        <row r="2109">
          <cell r="J2109">
            <v>10511</v>
          </cell>
        </row>
        <row r="2110">
          <cell r="J2110">
            <v>4360</v>
          </cell>
          <cell r="Q2110">
            <v>26044</v>
          </cell>
        </row>
        <row r="2111">
          <cell r="J2111">
            <v>3810</v>
          </cell>
          <cell r="Q2111">
            <v>26045</v>
          </cell>
        </row>
        <row r="2112">
          <cell r="J2112">
            <v>4095.3</v>
          </cell>
          <cell r="Q2112">
            <v>26046</v>
          </cell>
        </row>
        <row r="2113">
          <cell r="J2113">
            <v>23000</v>
          </cell>
          <cell r="Q2113">
            <v>26051</v>
          </cell>
        </row>
        <row r="2114">
          <cell r="J2114">
            <v>7100</v>
          </cell>
          <cell r="Q2114">
            <v>26069</v>
          </cell>
        </row>
        <row r="2115">
          <cell r="J2115">
            <v>8976</v>
          </cell>
          <cell r="Q2115">
            <v>26047</v>
          </cell>
        </row>
        <row r="2116">
          <cell r="J2116">
            <v>10890</v>
          </cell>
        </row>
        <row r="2117">
          <cell r="J2117">
            <v>14820</v>
          </cell>
        </row>
        <row r="2118">
          <cell r="J2118">
            <v>39600</v>
          </cell>
        </row>
        <row r="2119">
          <cell r="J2119">
            <v>6880</v>
          </cell>
          <cell r="Q2119">
            <v>26123</v>
          </cell>
        </row>
        <row r="2120">
          <cell r="J2120">
            <v>6540.0000000000009</v>
          </cell>
          <cell r="Q2120">
            <v>26101</v>
          </cell>
        </row>
        <row r="2121">
          <cell r="J2121">
            <v>40275</v>
          </cell>
          <cell r="Q2121">
            <v>26062</v>
          </cell>
        </row>
        <row r="2122">
          <cell r="J2122">
            <v>7400</v>
          </cell>
        </row>
        <row r="2123">
          <cell r="J2123">
            <v>14750</v>
          </cell>
          <cell r="Q2123">
            <v>26053</v>
          </cell>
        </row>
        <row r="2124">
          <cell r="J2124">
            <v>19800</v>
          </cell>
          <cell r="Q2124">
            <v>26148</v>
          </cell>
        </row>
        <row r="2125">
          <cell r="J2125">
            <v>29955</v>
          </cell>
          <cell r="Q2125">
            <v>26052</v>
          </cell>
        </row>
        <row r="2126">
          <cell r="J2126">
            <v>12700</v>
          </cell>
          <cell r="Q2126">
            <v>26078</v>
          </cell>
        </row>
        <row r="2127">
          <cell r="J2127">
            <v>112950</v>
          </cell>
        </row>
        <row r="2128">
          <cell r="J2128">
            <v>142350</v>
          </cell>
        </row>
        <row r="2129">
          <cell r="J2129">
            <v>47550</v>
          </cell>
        </row>
        <row r="2130">
          <cell r="J2130">
            <v>63299.999999999993</v>
          </cell>
        </row>
        <row r="2131">
          <cell r="J2131">
            <v>67350</v>
          </cell>
        </row>
        <row r="2132">
          <cell r="J2132">
            <v>13450</v>
          </cell>
          <cell r="Q2132">
            <v>26076</v>
          </cell>
        </row>
        <row r="2133">
          <cell r="J2133">
            <v>10000</v>
          </cell>
          <cell r="Q2133">
            <v>26058</v>
          </cell>
        </row>
        <row r="2134">
          <cell r="J2134">
            <v>10500</v>
          </cell>
          <cell r="Q2134">
            <v>26104</v>
          </cell>
        </row>
        <row r="2135">
          <cell r="J2135">
            <v>11410</v>
          </cell>
        </row>
        <row r="2136">
          <cell r="J2136">
            <v>58600</v>
          </cell>
          <cell r="Q2136">
            <v>26060</v>
          </cell>
        </row>
        <row r="2137">
          <cell r="J2137">
            <v>51270</v>
          </cell>
        </row>
        <row r="2138">
          <cell r="J2138">
            <v>63980.000000000007</v>
          </cell>
        </row>
        <row r="2139">
          <cell r="J2139">
            <v>12033</v>
          </cell>
        </row>
        <row r="2140">
          <cell r="J2140">
            <v>6657</v>
          </cell>
        </row>
        <row r="2141">
          <cell r="J2141">
            <v>122400</v>
          </cell>
          <cell r="Q2141">
            <v>26080</v>
          </cell>
        </row>
        <row r="2142">
          <cell r="J2142">
            <v>6795</v>
          </cell>
        </row>
        <row r="2143">
          <cell r="J2143">
            <v>6240</v>
          </cell>
        </row>
        <row r="2144">
          <cell r="J2144">
            <v>9780</v>
          </cell>
        </row>
        <row r="2145">
          <cell r="J2145">
            <v>18500</v>
          </cell>
        </row>
        <row r="2146">
          <cell r="J2146">
            <v>20250</v>
          </cell>
        </row>
        <row r="2147">
          <cell r="J2147">
            <v>6102</v>
          </cell>
          <cell r="Q2147">
            <v>26071</v>
          </cell>
        </row>
        <row r="2148">
          <cell r="J2148">
            <v>0</v>
          </cell>
        </row>
        <row r="2149">
          <cell r="J2149">
            <v>7000</v>
          </cell>
          <cell r="Q2149">
            <v>26068</v>
          </cell>
        </row>
        <row r="2150">
          <cell r="J2150">
            <v>23800</v>
          </cell>
        </row>
        <row r="2151">
          <cell r="J2151">
            <v>28080</v>
          </cell>
          <cell r="Q2151">
            <v>26066</v>
          </cell>
        </row>
        <row r="2152">
          <cell r="J2152">
            <v>4680</v>
          </cell>
        </row>
        <row r="2153">
          <cell r="J2153">
            <v>1988</v>
          </cell>
        </row>
        <row r="2154">
          <cell r="J2154">
            <v>5200</v>
          </cell>
        </row>
        <row r="2155">
          <cell r="J2155">
            <v>0</v>
          </cell>
        </row>
        <row r="2156">
          <cell r="J2156">
            <v>4631.4000000000005</v>
          </cell>
          <cell r="Q2156">
            <v>25149</v>
          </cell>
        </row>
        <row r="2157">
          <cell r="J2157">
            <v>3562.5</v>
          </cell>
          <cell r="Q2157">
            <v>26110</v>
          </cell>
        </row>
        <row r="2158">
          <cell r="J2158">
            <v>14200</v>
          </cell>
        </row>
        <row r="2159">
          <cell r="J2159">
            <v>9475</v>
          </cell>
        </row>
        <row r="2160">
          <cell r="J2160">
            <v>72900</v>
          </cell>
        </row>
        <row r="2161">
          <cell r="J2161">
            <v>83900</v>
          </cell>
        </row>
        <row r="2162">
          <cell r="J2162">
            <v>22520</v>
          </cell>
        </row>
        <row r="2163">
          <cell r="J2163">
            <v>17740</v>
          </cell>
        </row>
        <row r="2164">
          <cell r="J2164">
            <v>33960</v>
          </cell>
        </row>
        <row r="2165">
          <cell r="J2165">
            <v>14800</v>
          </cell>
        </row>
        <row r="2166">
          <cell r="J2166">
            <v>4825</v>
          </cell>
          <cell r="Q2166">
            <v>26064</v>
          </cell>
        </row>
        <row r="2167">
          <cell r="J2167">
            <v>13162.14</v>
          </cell>
        </row>
        <row r="2168">
          <cell r="J2168">
            <v>4645.5</v>
          </cell>
        </row>
        <row r="2169">
          <cell r="J2169">
            <v>5250</v>
          </cell>
        </row>
        <row r="2170">
          <cell r="J2170">
            <v>4380</v>
          </cell>
        </row>
        <row r="2171">
          <cell r="J2171">
            <v>3020</v>
          </cell>
        </row>
        <row r="2172">
          <cell r="J2172">
            <v>3540</v>
          </cell>
        </row>
        <row r="2173">
          <cell r="J2173">
            <v>109350</v>
          </cell>
        </row>
        <row r="2174">
          <cell r="J2174">
            <v>6500</v>
          </cell>
        </row>
        <row r="2175">
          <cell r="J2175">
            <v>6700</v>
          </cell>
        </row>
        <row r="2176">
          <cell r="J2176">
            <v>7970</v>
          </cell>
        </row>
        <row r="2177">
          <cell r="J2177">
            <v>6650</v>
          </cell>
        </row>
        <row r="2178">
          <cell r="J2178">
            <v>13332</v>
          </cell>
          <cell r="Q2178">
            <v>26065</v>
          </cell>
        </row>
        <row r="2179">
          <cell r="J2179">
            <v>12120</v>
          </cell>
          <cell r="Q2179">
            <v>26075</v>
          </cell>
        </row>
        <row r="2180">
          <cell r="J2180">
            <v>2972</v>
          </cell>
          <cell r="Q2180">
            <v>26097</v>
          </cell>
        </row>
        <row r="2181">
          <cell r="J2181">
            <v>10850</v>
          </cell>
        </row>
        <row r="2182">
          <cell r="J2182">
            <v>11980</v>
          </cell>
          <cell r="Q2182">
            <v>26086</v>
          </cell>
        </row>
        <row r="2183">
          <cell r="J2183">
            <v>37200</v>
          </cell>
          <cell r="Q2183">
            <v>26109</v>
          </cell>
        </row>
        <row r="2184">
          <cell r="J2184">
            <v>16320</v>
          </cell>
        </row>
        <row r="2185">
          <cell r="J2185">
            <v>68460</v>
          </cell>
        </row>
        <row r="2186">
          <cell r="J2186">
            <v>43680</v>
          </cell>
        </row>
        <row r="2187">
          <cell r="J2187">
            <v>131.58000000000001</v>
          </cell>
          <cell r="Q2187">
            <v>26134</v>
          </cell>
        </row>
        <row r="2188">
          <cell r="J2188">
            <v>339220</v>
          </cell>
        </row>
        <row r="2189">
          <cell r="J2189">
            <v>5730</v>
          </cell>
        </row>
        <row r="2190">
          <cell r="J2190">
            <v>5730</v>
          </cell>
        </row>
        <row r="2191">
          <cell r="J2191">
            <v>4030.0000000000009</v>
          </cell>
        </row>
        <row r="2192">
          <cell r="J2192">
            <v>1565</v>
          </cell>
          <cell r="Q2192">
            <v>26072</v>
          </cell>
        </row>
        <row r="2193">
          <cell r="J2193">
            <v>8720</v>
          </cell>
        </row>
        <row r="2194">
          <cell r="J2194">
            <v>6800</v>
          </cell>
        </row>
        <row r="2195">
          <cell r="J2195">
            <v>1974</v>
          </cell>
          <cell r="Q2195">
            <v>26082</v>
          </cell>
        </row>
        <row r="2196">
          <cell r="J2196">
            <v>80990</v>
          </cell>
          <cell r="Q2196">
            <v>26092</v>
          </cell>
        </row>
        <row r="2197">
          <cell r="J2197">
            <v>17940</v>
          </cell>
          <cell r="Q2197">
            <v>26093</v>
          </cell>
        </row>
        <row r="2198">
          <cell r="J2198">
            <v>12968</v>
          </cell>
          <cell r="Q2198">
            <v>26091</v>
          </cell>
        </row>
        <row r="2199">
          <cell r="J2199">
            <v>10188</v>
          </cell>
          <cell r="Q2199">
            <v>26095</v>
          </cell>
        </row>
        <row r="2200">
          <cell r="J2200">
            <v>3900</v>
          </cell>
        </row>
        <row r="2201">
          <cell r="J2201">
            <v>111050</v>
          </cell>
        </row>
        <row r="2202">
          <cell r="J2202">
            <v>17875</v>
          </cell>
        </row>
        <row r="2203">
          <cell r="J2203">
            <v>29225</v>
          </cell>
        </row>
        <row r="2204">
          <cell r="J2204">
            <v>24400</v>
          </cell>
          <cell r="Q2204">
            <v>26094</v>
          </cell>
        </row>
        <row r="2205">
          <cell r="J2205">
            <v>57760</v>
          </cell>
          <cell r="Q2205">
            <v>26085</v>
          </cell>
        </row>
        <row r="2206">
          <cell r="J2206">
            <v>78624</v>
          </cell>
          <cell r="Q2206">
            <v>26084</v>
          </cell>
        </row>
        <row r="2207">
          <cell r="J2207">
            <v>13485</v>
          </cell>
        </row>
        <row r="2208">
          <cell r="J2208">
            <v>17316</v>
          </cell>
        </row>
        <row r="2209">
          <cell r="J2209">
            <v>9600</v>
          </cell>
        </row>
        <row r="2210">
          <cell r="J2210">
            <v>15640</v>
          </cell>
        </row>
        <row r="2211">
          <cell r="J2211">
            <v>4840</v>
          </cell>
          <cell r="Q2211">
            <v>26099</v>
          </cell>
        </row>
        <row r="2212">
          <cell r="J2212">
            <v>8670</v>
          </cell>
        </row>
        <row r="2213">
          <cell r="J2213">
            <v>47400</v>
          </cell>
        </row>
        <row r="2214">
          <cell r="J2214">
            <v>140000</v>
          </cell>
        </row>
        <row r="2215">
          <cell r="J2215">
            <v>74000</v>
          </cell>
        </row>
        <row r="2216">
          <cell r="J2216">
            <v>88500</v>
          </cell>
        </row>
        <row r="2217">
          <cell r="J2217">
            <v>523350</v>
          </cell>
        </row>
        <row r="2218">
          <cell r="J2218">
            <v>19400</v>
          </cell>
        </row>
        <row r="2219">
          <cell r="J2219">
            <v>13350</v>
          </cell>
          <cell r="Q2219">
            <v>26103</v>
          </cell>
        </row>
        <row r="2220">
          <cell r="J2220">
            <v>11860</v>
          </cell>
          <cell r="Q2220">
            <v>26090</v>
          </cell>
        </row>
        <row r="2221">
          <cell r="J2221">
            <v>6765</v>
          </cell>
        </row>
        <row r="2222">
          <cell r="J2222">
            <v>6270</v>
          </cell>
        </row>
        <row r="2223">
          <cell r="J2223">
            <v>5280</v>
          </cell>
        </row>
        <row r="2224">
          <cell r="J2224">
            <v>7755</v>
          </cell>
        </row>
        <row r="2225">
          <cell r="J2225">
            <v>7260</v>
          </cell>
        </row>
        <row r="2226">
          <cell r="J2226">
            <v>7020</v>
          </cell>
        </row>
        <row r="2227">
          <cell r="J2227">
            <v>9480</v>
          </cell>
        </row>
        <row r="2228">
          <cell r="J2228">
            <v>9000</v>
          </cell>
        </row>
        <row r="2229">
          <cell r="J2229">
            <v>9240</v>
          </cell>
        </row>
        <row r="2230">
          <cell r="J2230">
            <v>12989.9</v>
          </cell>
          <cell r="Q2230">
            <v>26111</v>
          </cell>
        </row>
        <row r="2231">
          <cell r="J2231">
            <v>1698.9999999999998</v>
          </cell>
        </row>
        <row r="2232">
          <cell r="J2232">
            <v>235200.00000000003</v>
          </cell>
        </row>
        <row r="2233">
          <cell r="J2233">
            <v>27119.999999999996</v>
          </cell>
        </row>
        <row r="2234">
          <cell r="J2234">
            <v>20760</v>
          </cell>
        </row>
        <row r="2235">
          <cell r="J2235">
            <v>18400</v>
          </cell>
        </row>
        <row r="2236">
          <cell r="J2236">
            <v>15075.000000000002</v>
          </cell>
        </row>
        <row r="2237">
          <cell r="J2237">
            <v>16125</v>
          </cell>
        </row>
        <row r="2238">
          <cell r="J2238">
            <v>26970</v>
          </cell>
          <cell r="Q2238">
            <v>26114</v>
          </cell>
        </row>
        <row r="2239">
          <cell r="J2239">
            <v>21812</v>
          </cell>
        </row>
        <row r="2240">
          <cell r="J2240">
            <v>14100</v>
          </cell>
        </row>
        <row r="2241">
          <cell r="J2241">
            <v>13680</v>
          </cell>
        </row>
        <row r="2242">
          <cell r="J2242">
            <v>14100</v>
          </cell>
        </row>
        <row r="2243">
          <cell r="J2243">
            <v>13460</v>
          </cell>
        </row>
        <row r="2244">
          <cell r="J2244">
            <v>14320</v>
          </cell>
        </row>
        <row r="2245">
          <cell r="J2245">
            <v>11000</v>
          </cell>
        </row>
        <row r="2246">
          <cell r="J2246">
            <v>13700</v>
          </cell>
        </row>
        <row r="2247">
          <cell r="J2247">
            <v>10820</v>
          </cell>
        </row>
        <row r="2248">
          <cell r="J2248">
            <v>87114.049999999988</v>
          </cell>
          <cell r="Q2248">
            <v>26112</v>
          </cell>
        </row>
        <row r="2249">
          <cell r="J2249">
            <v>82897.099999999991</v>
          </cell>
          <cell r="Q2249">
            <v>26113</v>
          </cell>
        </row>
        <row r="2250">
          <cell r="J2250">
            <v>6485</v>
          </cell>
        </row>
        <row r="2251">
          <cell r="J2251">
            <v>16920</v>
          </cell>
        </row>
        <row r="2252">
          <cell r="J2252">
            <v>8975</v>
          </cell>
        </row>
        <row r="2253">
          <cell r="J2253">
            <v>15360</v>
          </cell>
          <cell r="Q2253">
            <v>26107</v>
          </cell>
        </row>
        <row r="2254">
          <cell r="J2254">
            <v>41700</v>
          </cell>
        </row>
        <row r="2255">
          <cell r="J2255">
            <v>119360</v>
          </cell>
          <cell r="Q2255">
            <v>26133</v>
          </cell>
        </row>
        <row r="2256">
          <cell r="J2256">
            <v>78000</v>
          </cell>
          <cell r="Q2256">
            <v>26132</v>
          </cell>
        </row>
        <row r="2257">
          <cell r="J2257">
            <v>49029.75</v>
          </cell>
          <cell r="Q2257">
            <v>26139</v>
          </cell>
        </row>
        <row r="2258">
          <cell r="J2258">
            <v>10830.6</v>
          </cell>
        </row>
        <row r="2259">
          <cell r="J2259">
            <v>51397.5</v>
          </cell>
          <cell r="Q2259">
            <v>26146</v>
          </cell>
        </row>
        <row r="2260">
          <cell r="J2260">
            <v>37400</v>
          </cell>
        </row>
        <row r="2261">
          <cell r="J2261">
            <v>8965</v>
          </cell>
        </row>
        <row r="2262">
          <cell r="J2262">
            <v>34802.25</v>
          </cell>
          <cell r="Q2262">
            <v>26139</v>
          </cell>
        </row>
        <row r="2263">
          <cell r="J2263">
            <v>21798</v>
          </cell>
          <cell r="Q2263">
            <v>26139</v>
          </cell>
        </row>
        <row r="2264">
          <cell r="J2264">
            <v>4400</v>
          </cell>
        </row>
        <row r="2265">
          <cell r="J2265">
            <v>28000</v>
          </cell>
        </row>
        <row r="2266">
          <cell r="J2266">
            <v>10240</v>
          </cell>
        </row>
        <row r="2267">
          <cell r="J2267">
            <v>22725</v>
          </cell>
        </row>
        <row r="2268">
          <cell r="J2268">
            <v>62800</v>
          </cell>
        </row>
        <row r="2269">
          <cell r="J2269">
            <v>17100</v>
          </cell>
        </row>
        <row r="2270">
          <cell r="J2270">
            <v>3338.0000000000005</v>
          </cell>
        </row>
        <row r="2271">
          <cell r="J2271">
            <v>16347.5</v>
          </cell>
        </row>
        <row r="2272">
          <cell r="J2272">
            <v>12012</v>
          </cell>
        </row>
        <row r="2273">
          <cell r="J2273">
            <v>15450.000000000002</v>
          </cell>
        </row>
        <row r="2274">
          <cell r="J2274">
            <v>20070</v>
          </cell>
        </row>
        <row r="2275">
          <cell r="J2275">
            <v>20940</v>
          </cell>
        </row>
        <row r="2276">
          <cell r="J2276">
            <v>12167.5</v>
          </cell>
          <cell r="Q2276">
            <v>26115</v>
          </cell>
        </row>
        <row r="2277">
          <cell r="J2277">
            <v>12384.5</v>
          </cell>
          <cell r="Q2277">
            <v>26115</v>
          </cell>
        </row>
        <row r="2278">
          <cell r="J2278">
            <v>9425</v>
          </cell>
        </row>
        <row r="2279">
          <cell r="J2279">
            <v>7221</v>
          </cell>
        </row>
        <row r="2280">
          <cell r="J2280">
            <v>29070</v>
          </cell>
          <cell r="Q2280">
            <v>26151</v>
          </cell>
        </row>
        <row r="2281">
          <cell r="J2281">
            <v>34090</v>
          </cell>
          <cell r="Q2281">
            <v>26139</v>
          </cell>
        </row>
        <row r="2282">
          <cell r="J2282">
            <v>21280</v>
          </cell>
          <cell r="Q2282">
            <v>26139</v>
          </cell>
        </row>
        <row r="2283">
          <cell r="J2283">
            <v>48180</v>
          </cell>
          <cell r="Q2283">
            <v>26139</v>
          </cell>
        </row>
        <row r="2284">
          <cell r="J2284">
            <v>73704</v>
          </cell>
          <cell r="Q2284">
            <v>26149</v>
          </cell>
        </row>
        <row r="2285">
          <cell r="J2285">
            <v>16350</v>
          </cell>
        </row>
        <row r="2286">
          <cell r="J2286">
            <v>17280</v>
          </cell>
        </row>
        <row r="2287">
          <cell r="J2287">
            <v>17640</v>
          </cell>
          <cell r="Q2287">
            <v>26129</v>
          </cell>
        </row>
        <row r="2288">
          <cell r="J2288">
            <v>11730</v>
          </cell>
          <cell r="Q2288">
            <v>26128</v>
          </cell>
        </row>
        <row r="2289">
          <cell r="J2289">
            <v>237280</v>
          </cell>
          <cell r="Q2289">
            <v>26157</v>
          </cell>
        </row>
        <row r="2290">
          <cell r="J2290">
            <v>3840</v>
          </cell>
        </row>
        <row r="2291">
          <cell r="J2291">
            <v>2475</v>
          </cell>
        </row>
        <row r="2292">
          <cell r="J2292">
            <v>1983</v>
          </cell>
          <cell r="Q2292">
            <v>26116</v>
          </cell>
        </row>
        <row r="2293">
          <cell r="J2293">
            <v>15960</v>
          </cell>
          <cell r="Q2293">
            <v>26122</v>
          </cell>
        </row>
        <row r="2294">
          <cell r="J2294">
            <v>85491</v>
          </cell>
          <cell r="Q2294">
            <v>26117</v>
          </cell>
        </row>
        <row r="2295">
          <cell r="J2295">
            <v>17900</v>
          </cell>
          <cell r="Q2295">
            <v>26124</v>
          </cell>
        </row>
        <row r="2296">
          <cell r="J2296">
            <v>20271</v>
          </cell>
        </row>
        <row r="2297">
          <cell r="J2297">
            <v>1900</v>
          </cell>
        </row>
        <row r="2298">
          <cell r="J2298">
            <v>15778</v>
          </cell>
        </row>
        <row r="2299">
          <cell r="J2299">
            <v>908</v>
          </cell>
        </row>
        <row r="2300">
          <cell r="J2300">
            <v>946.00000000000011</v>
          </cell>
        </row>
        <row r="2301">
          <cell r="J2301">
            <v>37324</v>
          </cell>
        </row>
        <row r="2302">
          <cell r="J2302">
            <v>9126</v>
          </cell>
          <cell r="Q2302">
            <v>26125</v>
          </cell>
        </row>
        <row r="2303">
          <cell r="J2303">
            <v>10350</v>
          </cell>
          <cell r="Q2303">
            <v>26127</v>
          </cell>
        </row>
        <row r="2304">
          <cell r="J2304">
            <v>2082.5</v>
          </cell>
          <cell r="Q2304">
            <v>26127</v>
          </cell>
        </row>
        <row r="2305">
          <cell r="J2305">
            <v>8294</v>
          </cell>
          <cell r="Q2305">
            <v>26130</v>
          </cell>
        </row>
        <row r="2306">
          <cell r="J2306">
            <v>3206</v>
          </cell>
          <cell r="Q2306">
            <v>26118</v>
          </cell>
        </row>
        <row r="2307">
          <cell r="J2307">
            <v>2387</v>
          </cell>
          <cell r="Q2307">
            <v>26119</v>
          </cell>
        </row>
        <row r="2308">
          <cell r="J2308">
            <v>11592</v>
          </cell>
          <cell r="Q2308">
            <v>26126</v>
          </cell>
        </row>
        <row r="2309">
          <cell r="J2309">
            <v>1392</v>
          </cell>
          <cell r="Q2309">
            <v>26126</v>
          </cell>
        </row>
        <row r="2310">
          <cell r="J2310">
            <v>1541.4</v>
          </cell>
        </row>
        <row r="2311">
          <cell r="J2311">
            <v>1546.65</v>
          </cell>
        </row>
        <row r="2312">
          <cell r="J2312">
            <v>90000</v>
          </cell>
        </row>
        <row r="2313">
          <cell r="J2313">
            <v>21989</v>
          </cell>
          <cell r="Q2313">
            <v>26131</v>
          </cell>
        </row>
        <row r="2314">
          <cell r="J2314">
            <v>4320</v>
          </cell>
          <cell r="Q2314">
            <v>26160</v>
          </cell>
        </row>
        <row r="2315">
          <cell r="J2315">
            <v>10130</v>
          </cell>
          <cell r="Q2315">
            <v>26136</v>
          </cell>
        </row>
        <row r="2316">
          <cell r="J2316">
            <v>10900</v>
          </cell>
        </row>
        <row r="2317">
          <cell r="J2317">
            <v>3965</v>
          </cell>
        </row>
        <row r="2318">
          <cell r="J2318">
            <v>14475</v>
          </cell>
          <cell r="Q2318">
            <v>26143</v>
          </cell>
        </row>
        <row r="2319">
          <cell r="J2319">
            <v>17840</v>
          </cell>
        </row>
        <row r="2320">
          <cell r="J2320">
            <v>58250</v>
          </cell>
          <cell r="Q2320">
            <v>26135</v>
          </cell>
        </row>
        <row r="2321">
          <cell r="J2321">
            <v>3215.9999999999995</v>
          </cell>
        </row>
        <row r="2322">
          <cell r="J2322">
            <v>16160</v>
          </cell>
          <cell r="Q2322">
            <v>26138</v>
          </cell>
        </row>
        <row r="2323">
          <cell r="J2323">
            <v>6590</v>
          </cell>
          <cell r="Q2323">
            <v>26137</v>
          </cell>
        </row>
        <row r="2324">
          <cell r="J2324">
            <v>6200</v>
          </cell>
        </row>
        <row r="2325">
          <cell r="J2325">
            <v>114372</v>
          </cell>
        </row>
        <row r="2326">
          <cell r="J2326">
            <v>70650</v>
          </cell>
        </row>
        <row r="2327">
          <cell r="J2327">
            <v>15697.5</v>
          </cell>
        </row>
        <row r="2328">
          <cell r="J2328">
            <v>15150</v>
          </cell>
        </row>
        <row r="2329">
          <cell r="J2329">
            <v>267540</v>
          </cell>
        </row>
        <row r="2330">
          <cell r="J2330">
            <v>241125</v>
          </cell>
        </row>
        <row r="2331">
          <cell r="J2331">
            <v>31560</v>
          </cell>
        </row>
        <row r="2332">
          <cell r="J2332">
            <v>4485</v>
          </cell>
          <cell r="Q2332">
            <v>26145</v>
          </cell>
        </row>
        <row r="2333">
          <cell r="J2333">
            <v>38230</v>
          </cell>
        </row>
        <row r="2334">
          <cell r="J2334">
            <v>9750</v>
          </cell>
        </row>
        <row r="2335">
          <cell r="J2335">
            <v>141420</v>
          </cell>
        </row>
        <row r="2336">
          <cell r="J2336">
            <v>4243.5</v>
          </cell>
        </row>
        <row r="2337">
          <cell r="J2337">
            <v>7733</v>
          </cell>
        </row>
        <row r="2338">
          <cell r="J2338">
            <v>14488.5</v>
          </cell>
        </row>
        <row r="2339">
          <cell r="J2339">
            <v>16578.399999999998</v>
          </cell>
        </row>
        <row r="2340">
          <cell r="J2340">
            <v>15028.000000000002</v>
          </cell>
        </row>
        <row r="2341">
          <cell r="J2341">
            <v>18170</v>
          </cell>
        </row>
        <row r="2342">
          <cell r="J2342">
            <v>21707.4</v>
          </cell>
        </row>
        <row r="2343">
          <cell r="J2343">
            <v>51917.25</v>
          </cell>
          <cell r="Q2343">
            <v>26146</v>
          </cell>
        </row>
        <row r="2344">
          <cell r="J2344">
            <v>12434.999999999998</v>
          </cell>
          <cell r="Q2344">
            <v>26150</v>
          </cell>
        </row>
        <row r="2345">
          <cell r="J2345">
            <v>0</v>
          </cell>
        </row>
        <row r="2346">
          <cell r="J2346">
            <v>19567.8</v>
          </cell>
        </row>
        <row r="2347">
          <cell r="J2347">
            <v>2310</v>
          </cell>
        </row>
        <row r="2348">
          <cell r="J2348">
            <v>11420</v>
          </cell>
        </row>
        <row r="2349">
          <cell r="J2349">
            <v>10720</v>
          </cell>
        </row>
        <row r="2350">
          <cell r="J2350">
            <v>21990</v>
          </cell>
        </row>
        <row r="2351">
          <cell r="J2351">
            <v>220500</v>
          </cell>
        </row>
        <row r="2352">
          <cell r="J2352">
            <v>196700.00000000003</v>
          </cell>
        </row>
        <row r="2353">
          <cell r="J2353">
            <v>4120</v>
          </cell>
        </row>
        <row r="2354">
          <cell r="J2354">
            <v>4920</v>
          </cell>
        </row>
        <row r="2355">
          <cell r="J2355">
            <v>9135</v>
          </cell>
        </row>
        <row r="2356">
          <cell r="J2356">
            <v>14520</v>
          </cell>
        </row>
        <row r="2357">
          <cell r="J2357">
            <v>8925</v>
          </cell>
        </row>
        <row r="2358">
          <cell r="J2358">
            <v>9415</v>
          </cell>
        </row>
        <row r="2359">
          <cell r="J2359">
            <v>40199.999999999993</v>
          </cell>
          <cell r="Q2359">
            <v>26162</v>
          </cell>
        </row>
        <row r="2360">
          <cell r="J2360">
            <v>17550</v>
          </cell>
        </row>
        <row r="2361">
          <cell r="J2361">
            <v>37750</v>
          </cell>
          <cell r="Q2361">
            <v>26164</v>
          </cell>
        </row>
        <row r="2362">
          <cell r="J2362">
            <v>62750</v>
          </cell>
          <cell r="Q2362">
            <v>26163</v>
          </cell>
        </row>
        <row r="2363">
          <cell r="J2363">
            <v>0</v>
          </cell>
        </row>
        <row r="2364">
          <cell r="J2364">
            <v>39600</v>
          </cell>
          <cell r="Q2364">
            <v>26156</v>
          </cell>
        </row>
        <row r="2365">
          <cell r="J2365">
            <v>12000</v>
          </cell>
        </row>
        <row r="2366">
          <cell r="J2366">
            <v>8050.0000000000018</v>
          </cell>
        </row>
        <row r="2367">
          <cell r="J2367">
            <v>6650</v>
          </cell>
        </row>
        <row r="2368">
          <cell r="J2368">
            <v>3930</v>
          </cell>
        </row>
        <row r="2369">
          <cell r="J2369">
            <v>3200</v>
          </cell>
        </row>
        <row r="2370">
          <cell r="J2370">
            <v>240974.99999999997</v>
          </cell>
        </row>
        <row r="2371">
          <cell r="J2371">
            <v>314025</v>
          </cell>
        </row>
        <row r="2372">
          <cell r="J2372">
            <v>15150</v>
          </cell>
        </row>
        <row r="2373">
          <cell r="J2373">
            <v>18570</v>
          </cell>
        </row>
        <row r="2374">
          <cell r="J2374">
            <v>6500</v>
          </cell>
        </row>
        <row r="2375">
          <cell r="J2375">
            <v>6280</v>
          </cell>
        </row>
        <row r="2376">
          <cell r="J2376">
            <v>14572.8</v>
          </cell>
          <cell r="Q2376">
            <v>26159</v>
          </cell>
        </row>
        <row r="2377">
          <cell r="J2377">
            <v>14909</v>
          </cell>
          <cell r="Q2377">
            <v>26177</v>
          </cell>
        </row>
        <row r="2378">
          <cell r="J2378">
            <v>7900</v>
          </cell>
        </row>
        <row r="2379">
          <cell r="J2379">
            <v>4960</v>
          </cell>
        </row>
        <row r="2380">
          <cell r="J2380">
            <v>6650</v>
          </cell>
        </row>
        <row r="2381">
          <cell r="J2381">
            <v>1995</v>
          </cell>
        </row>
        <row r="2382">
          <cell r="J2382">
            <v>35985</v>
          </cell>
        </row>
        <row r="2383">
          <cell r="J2383">
            <v>54870</v>
          </cell>
        </row>
        <row r="2384">
          <cell r="J2384">
            <v>53560</v>
          </cell>
        </row>
        <row r="2385">
          <cell r="J2385">
            <v>7110</v>
          </cell>
        </row>
        <row r="2386">
          <cell r="J2386">
            <v>12740</v>
          </cell>
        </row>
        <row r="2387">
          <cell r="J2387">
            <v>19950</v>
          </cell>
          <cell r="Q2387">
            <v>26169</v>
          </cell>
        </row>
        <row r="2388">
          <cell r="J2388">
            <v>19600</v>
          </cell>
          <cell r="Q2388">
            <v>26169</v>
          </cell>
        </row>
        <row r="2389">
          <cell r="J2389">
            <v>53580</v>
          </cell>
          <cell r="Q2389">
            <v>26169</v>
          </cell>
        </row>
        <row r="2390">
          <cell r="J2390">
            <v>9316</v>
          </cell>
          <cell r="Q2390">
            <v>26167</v>
          </cell>
        </row>
        <row r="2391">
          <cell r="J2391">
            <v>18210.400000000001</v>
          </cell>
          <cell r="Q2391">
            <v>26168</v>
          </cell>
        </row>
        <row r="2392">
          <cell r="J2392">
            <v>4032</v>
          </cell>
        </row>
        <row r="2393">
          <cell r="J2393">
            <v>1700</v>
          </cell>
        </row>
        <row r="2394">
          <cell r="J2394">
            <v>9225</v>
          </cell>
        </row>
        <row r="2395">
          <cell r="J2395">
            <v>29347.5</v>
          </cell>
          <cell r="Q2395">
            <v>26174</v>
          </cell>
        </row>
        <row r="2396">
          <cell r="J2396">
            <v>12376</v>
          </cell>
          <cell r="Q2396">
            <v>26158</v>
          </cell>
        </row>
        <row r="2397">
          <cell r="J2397">
            <v>76700</v>
          </cell>
        </row>
        <row r="2398">
          <cell r="J2398">
            <v>53550.000000000007</v>
          </cell>
        </row>
        <row r="2399">
          <cell r="J2399">
            <v>49100</v>
          </cell>
        </row>
        <row r="2400">
          <cell r="J2400">
            <v>27650</v>
          </cell>
        </row>
        <row r="2401">
          <cell r="J2401">
            <v>146250</v>
          </cell>
        </row>
        <row r="2402">
          <cell r="J2402">
            <v>55350</v>
          </cell>
        </row>
        <row r="2403">
          <cell r="J2403">
            <v>27920</v>
          </cell>
        </row>
        <row r="2404">
          <cell r="J2404">
            <v>55480</v>
          </cell>
        </row>
        <row r="2405">
          <cell r="J2405">
            <v>11829.6</v>
          </cell>
        </row>
        <row r="2406">
          <cell r="J2406">
            <v>4740</v>
          </cell>
        </row>
        <row r="2407">
          <cell r="J2407">
            <v>7980</v>
          </cell>
          <cell r="Q2407">
            <v>26165</v>
          </cell>
        </row>
        <row r="2408">
          <cell r="J2408">
            <v>67410</v>
          </cell>
        </row>
        <row r="2409">
          <cell r="J2409">
            <v>15750</v>
          </cell>
        </row>
        <row r="2410">
          <cell r="J2410">
            <v>293940</v>
          </cell>
        </row>
        <row r="2411">
          <cell r="J2411">
            <v>121576</v>
          </cell>
        </row>
        <row r="2412">
          <cell r="J2412">
            <v>105460.5</v>
          </cell>
        </row>
        <row r="2413">
          <cell r="J2413">
            <v>88452</v>
          </cell>
        </row>
        <row r="2414">
          <cell r="J2414">
            <v>30650</v>
          </cell>
        </row>
        <row r="2415">
          <cell r="J2415">
            <v>23417.5</v>
          </cell>
        </row>
        <row r="2416">
          <cell r="J2416">
            <v>41950</v>
          </cell>
          <cell r="Q2416">
            <v>26170</v>
          </cell>
        </row>
        <row r="2417">
          <cell r="J2417">
            <v>105750</v>
          </cell>
        </row>
        <row r="2418">
          <cell r="J2418">
            <v>22250</v>
          </cell>
        </row>
        <row r="2419">
          <cell r="J2419">
            <v>32076.000000000004</v>
          </cell>
          <cell r="Q2419">
            <v>26173</v>
          </cell>
        </row>
        <row r="2420">
          <cell r="J2420">
            <v>14590</v>
          </cell>
        </row>
        <row r="2421">
          <cell r="J2421">
            <v>5934</v>
          </cell>
        </row>
        <row r="2422">
          <cell r="J2422">
            <v>5805</v>
          </cell>
        </row>
        <row r="2423">
          <cell r="J2423">
            <v>3590</v>
          </cell>
        </row>
        <row r="2424">
          <cell r="J2424">
            <v>10000</v>
          </cell>
        </row>
        <row r="2425">
          <cell r="J2425">
            <v>70725</v>
          </cell>
        </row>
        <row r="2426">
          <cell r="J2426">
            <v>10125</v>
          </cell>
        </row>
        <row r="2427">
          <cell r="J2427">
            <v>14460</v>
          </cell>
        </row>
        <row r="2428">
          <cell r="J2428">
            <v>91800</v>
          </cell>
        </row>
        <row r="2429">
          <cell r="J2429">
            <v>8340</v>
          </cell>
        </row>
        <row r="2430">
          <cell r="J2430">
            <v>18630</v>
          </cell>
        </row>
        <row r="2431">
          <cell r="J2431">
            <v>57702</v>
          </cell>
        </row>
        <row r="2432">
          <cell r="J2432">
            <v>51915.5</v>
          </cell>
        </row>
        <row r="2433">
          <cell r="J2433">
            <v>18687.5</v>
          </cell>
        </row>
        <row r="2434">
          <cell r="J2434">
            <v>10505</v>
          </cell>
        </row>
        <row r="2435">
          <cell r="J2435">
            <v>11347.5</v>
          </cell>
        </row>
        <row r="2436">
          <cell r="J2436">
            <v>13209</v>
          </cell>
        </row>
        <row r="2437">
          <cell r="J2437">
            <v>13591.5</v>
          </cell>
        </row>
        <row r="2438">
          <cell r="J2438">
            <v>12367.5</v>
          </cell>
        </row>
        <row r="2439">
          <cell r="J2439">
            <v>8210</v>
          </cell>
        </row>
        <row r="2440">
          <cell r="J2440">
            <v>9240</v>
          </cell>
        </row>
        <row r="2441">
          <cell r="J2441">
            <v>3952</v>
          </cell>
        </row>
        <row r="2442">
          <cell r="J2442">
            <v>3510.0000000000005</v>
          </cell>
        </row>
        <row r="2443">
          <cell r="J2443">
            <v>3996.0000000000009</v>
          </cell>
        </row>
        <row r="2444">
          <cell r="J2444">
            <v>3415</v>
          </cell>
        </row>
        <row r="2445">
          <cell r="J2445">
            <v>0</v>
          </cell>
        </row>
        <row r="2446">
          <cell r="J2446">
            <v>44100</v>
          </cell>
        </row>
        <row r="2447">
          <cell r="J2447">
            <v>2957.5</v>
          </cell>
        </row>
        <row r="2448">
          <cell r="J2448">
            <v>44780</v>
          </cell>
        </row>
        <row r="2449">
          <cell r="J2449">
            <v>0</v>
          </cell>
        </row>
        <row r="2450">
          <cell r="J2450">
            <v>27170</v>
          </cell>
        </row>
        <row r="2451">
          <cell r="J2451">
            <v>0</v>
          </cell>
        </row>
        <row r="2452">
          <cell r="J2452">
            <v>7860</v>
          </cell>
        </row>
        <row r="2453">
          <cell r="J2453">
            <v>30060</v>
          </cell>
        </row>
        <row r="2454">
          <cell r="J2454">
            <v>33748</v>
          </cell>
        </row>
        <row r="2455">
          <cell r="J2455">
            <v>17400</v>
          </cell>
        </row>
        <row r="2456">
          <cell r="J2456">
            <v>8021.9999999999982</v>
          </cell>
        </row>
        <row r="2457">
          <cell r="J2457">
            <v>10284</v>
          </cell>
        </row>
        <row r="2458">
          <cell r="J2458">
            <v>95038</v>
          </cell>
          <cell r="Q2458">
            <v>26179</v>
          </cell>
        </row>
        <row r="2459">
          <cell r="J2459">
            <v>24930</v>
          </cell>
        </row>
        <row r="2460">
          <cell r="J2460">
            <v>9843</v>
          </cell>
        </row>
        <row r="2461">
          <cell r="J2461">
            <v>14400</v>
          </cell>
        </row>
        <row r="2462">
          <cell r="J2462">
            <v>12270</v>
          </cell>
        </row>
        <row r="2463">
          <cell r="J2463">
            <v>11730</v>
          </cell>
        </row>
        <row r="2464">
          <cell r="J2464">
            <v>13760</v>
          </cell>
        </row>
        <row r="2465">
          <cell r="J2465">
            <v>0</v>
          </cell>
        </row>
        <row r="2466">
          <cell r="J2466">
            <v>9390</v>
          </cell>
        </row>
        <row r="2467">
          <cell r="J2467">
            <v>16900</v>
          </cell>
        </row>
        <row r="2468">
          <cell r="J2468">
            <v>61380</v>
          </cell>
        </row>
        <row r="2469">
          <cell r="J2469">
            <v>8688</v>
          </cell>
        </row>
        <row r="2470">
          <cell r="J2470">
            <v>79750</v>
          </cell>
        </row>
        <row r="2471">
          <cell r="J2471">
            <v>0</v>
          </cell>
        </row>
        <row r="2472">
          <cell r="J2472">
            <v>0</v>
          </cell>
        </row>
        <row r="2473">
          <cell r="J2473">
            <v>37275</v>
          </cell>
        </row>
        <row r="2474">
          <cell r="J2474">
            <v>765</v>
          </cell>
        </row>
        <row r="2475">
          <cell r="J2475">
            <v>6870</v>
          </cell>
        </row>
        <row r="2476">
          <cell r="J2476">
            <v>4840</v>
          </cell>
        </row>
        <row r="2477">
          <cell r="J2477">
            <v>4865</v>
          </cell>
        </row>
        <row r="2478">
          <cell r="J2478">
            <v>4685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9780-89AB-46EF-A444-DE15B57A012F}">
  <dimension ref="A1:AR317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G33" sqref="G33"/>
    </sheetView>
  </sheetViews>
  <sheetFormatPr baseColWidth="10" defaultColWidth="11.44140625" defaultRowHeight="14.4" x14ac:dyDescent="0.3"/>
  <cols>
    <col min="1" max="1" width="11.109375" style="1" customWidth="1"/>
    <col min="2" max="2" width="22.5546875" style="1" bestFit="1" customWidth="1"/>
    <col min="3" max="3" width="50.44140625" style="3" bestFit="1" customWidth="1"/>
    <col min="4" max="4" width="36.6640625" style="4" bestFit="1" customWidth="1"/>
    <col min="5" max="5" width="20.44140625" style="24" customWidth="1"/>
    <col min="6" max="8" width="16.5546875" style="2" customWidth="1"/>
    <col min="9" max="9" width="24.5546875" style="2" bestFit="1" customWidth="1"/>
    <col min="10" max="10" width="22.109375" style="2" bestFit="1" customWidth="1"/>
    <col min="11" max="11" width="12.5546875" style="2" bestFit="1" customWidth="1"/>
    <col min="12" max="12" width="23.33203125" style="2" customWidth="1"/>
    <col min="13" max="13" width="19.33203125" style="2" customWidth="1"/>
    <col min="14" max="14" width="16.88671875" style="2" bestFit="1" customWidth="1"/>
    <col min="15" max="15" width="18.44140625" style="2" bestFit="1" customWidth="1"/>
    <col min="16" max="16" width="29" style="2" bestFit="1" customWidth="1"/>
    <col min="17" max="17" width="29" style="2" customWidth="1"/>
    <col min="18" max="19" width="30.77734375" style="2" bestFit="1" customWidth="1"/>
    <col min="20" max="20" width="31" style="2" bestFit="1" customWidth="1"/>
    <col min="21" max="21" width="11.5546875" style="1" bestFit="1" customWidth="1"/>
    <col min="22" max="22" width="19.109375" style="3" bestFit="1" customWidth="1"/>
    <col min="23" max="23" width="23.33203125" style="1" bestFit="1" customWidth="1"/>
    <col min="24" max="24" width="18.77734375" style="1" bestFit="1" customWidth="1"/>
    <col min="25" max="26" width="18.77734375" style="1" customWidth="1"/>
    <col min="27" max="27" width="26.77734375" style="1" customWidth="1"/>
    <col min="28" max="28" width="22.33203125" style="1" customWidth="1"/>
    <col min="29" max="29" width="17" style="1" customWidth="1"/>
    <col min="30" max="30" width="32.44140625" style="1" customWidth="1"/>
    <col min="31" max="31" width="33.44140625" style="1" customWidth="1"/>
    <col min="32" max="32" width="28.5546875" style="1" customWidth="1"/>
    <col min="33" max="33" width="29" style="1" customWidth="1"/>
    <col min="34" max="34" width="31.21875" style="1" customWidth="1"/>
    <col min="35" max="35" width="36.5546875" style="1" customWidth="1"/>
    <col min="36" max="36" width="31.6640625" style="1" bestFit="1" customWidth="1"/>
    <col min="37" max="37" width="31.6640625" style="1" customWidth="1"/>
    <col min="38" max="38" width="26.6640625" style="1" customWidth="1"/>
    <col min="39" max="39" width="36.5546875" style="1" bestFit="1" customWidth="1"/>
    <col min="40" max="40" width="32.44140625" style="1" bestFit="1" customWidth="1"/>
    <col min="41" max="42" width="36.33203125" style="1" customWidth="1"/>
    <col min="43" max="44" width="28.21875" style="1" customWidth="1"/>
    <col min="45" max="16384" width="11.44140625" style="1"/>
  </cols>
  <sheetData>
    <row r="1" spans="1:44" s="6" customFormat="1" ht="40.799999999999997" customHeight="1" x14ac:dyDescent="0.3">
      <c r="A1" s="11" t="s">
        <v>0</v>
      </c>
      <c r="B1" s="11" t="s">
        <v>1</v>
      </c>
      <c r="C1" s="11" t="s">
        <v>2</v>
      </c>
      <c r="D1" s="12" t="s">
        <v>126</v>
      </c>
      <c r="E1" s="23" t="s">
        <v>454</v>
      </c>
      <c r="F1" s="13" t="s">
        <v>127</v>
      </c>
      <c r="G1" s="14" t="s">
        <v>449</v>
      </c>
      <c r="H1" s="14" t="s">
        <v>3</v>
      </c>
      <c r="I1" s="14" t="s">
        <v>195</v>
      </c>
      <c r="J1" s="14" t="s">
        <v>4</v>
      </c>
      <c r="K1" s="14" t="s">
        <v>5</v>
      </c>
      <c r="L1" s="15" t="s">
        <v>196</v>
      </c>
      <c r="M1" s="14" t="s">
        <v>335</v>
      </c>
      <c r="N1" s="14" t="s">
        <v>6</v>
      </c>
      <c r="O1" s="14" t="s">
        <v>7</v>
      </c>
      <c r="P1" s="14" t="s">
        <v>204</v>
      </c>
      <c r="Q1" s="15" t="s">
        <v>205</v>
      </c>
      <c r="R1" s="14" t="s">
        <v>375</v>
      </c>
      <c r="S1" s="14" t="s">
        <v>381</v>
      </c>
      <c r="T1" s="14" t="s">
        <v>376</v>
      </c>
      <c r="U1" s="16" t="s">
        <v>203</v>
      </c>
      <c r="V1" s="17" t="s">
        <v>200</v>
      </c>
      <c r="W1" s="17" t="s">
        <v>200</v>
      </c>
      <c r="X1" s="16" t="s">
        <v>323</v>
      </c>
      <c r="Y1" s="18" t="s">
        <v>451</v>
      </c>
      <c r="Z1" s="18" t="s">
        <v>453</v>
      </c>
      <c r="AA1" s="18" t="s">
        <v>452</v>
      </c>
      <c r="AB1" s="18" t="s">
        <v>377</v>
      </c>
      <c r="AC1" s="19" t="s">
        <v>378</v>
      </c>
      <c r="AD1" s="19" t="s">
        <v>380</v>
      </c>
      <c r="AE1" s="19" t="s">
        <v>383</v>
      </c>
      <c r="AF1" s="19" t="s">
        <v>382</v>
      </c>
      <c r="AG1" s="19" t="s">
        <v>391</v>
      </c>
      <c r="AH1" s="20" t="s">
        <v>379</v>
      </c>
      <c r="AI1" s="21" t="s">
        <v>388</v>
      </c>
      <c r="AJ1" s="21" t="s">
        <v>384</v>
      </c>
      <c r="AK1" s="21" t="s">
        <v>390</v>
      </c>
      <c r="AL1" s="21" t="s">
        <v>385</v>
      </c>
      <c r="AM1" s="21" t="s">
        <v>386</v>
      </c>
      <c r="AN1" s="21" t="s">
        <v>387</v>
      </c>
      <c r="AO1" s="21" t="s">
        <v>389</v>
      </c>
      <c r="AP1" s="22" t="s">
        <v>392</v>
      </c>
      <c r="AQ1" s="22" t="s">
        <v>393</v>
      </c>
      <c r="AR1" s="22" t="s">
        <v>394</v>
      </c>
    </row>
    <row r="2" spans="1:44" x14ac:dyDescent="0.3">
      <c r="A2" s="1">
        <v>24168</v>
      </c>
      <c r="B2" s="1" t="s">
        <v>9</v>
      </c>
      <c r="C2" s="3" t="s">
        <v>10</v>
      </c>
      <c r="D2" s="4">
        <v>1040</v>
      </c>
      <c r="E2" s="24">
        <f>_xlfn.XLOOKUP(A2,[1]PONCEBLANC!$Q:$Q,[1]PONCEBLANC!$J:$J,100,0)</f>
        <v>15400</v>
      </c>
      <c r="G2" s="2">
        <v>45495</v>
      </c>
      <c r="H2" s="2">
        <v>45531</v>
      </c>
      <c r="I2" s="2">
        <v>45924</v>
      </c>
      <c r="J2" s="2">
        <v>45961</v>
      </c>
      <c r="K2" s="2">
        <v>45946</v>
      </c>
      <c r="L2" s="2">
        <v>45945</v>
      </c>
      <c r="M2" s="2">
        <v>45934</v>
      </c>
      <c r="N2" s="2">
        <v>45966</v>
      </c>
      <c r="O2" s="2">
        <v>45937</v>
      </c>
      <c r="P2" s="2">
        <v>45975</v>
      </c>
      <c r="Q2" s="2">
        <v>45974</v>
      </c>
      <c r="R2" s="2">
        <v>46003</v>
      </c>
      <c r="S2" s="2">
        <v>46003</v>
      </c>
      <c r="T2" s="2">
        <v>46003</v>
      </c>
      <c r="U2" s="1">
        <v>1</v>
      </c>
      <c r="Y2" s="1">
        <f>IF(OR($T2="",$G2=""),"DATE MANQUANTE",NETWORKDAYS($G2,$T2)-1)</f>
        <v>364</v>
      </c>
      <c r="Z2" s="1">
        <f>IF(OR($H2="",$G2=""),"DATE MANQUANTE",NETWORKDAYS($G2,$H2)-1)</f>
        <v>26</v>
      </c>
      <c r="AA2" s="1">
        <f>IF($T2="","NON LIVRE",NETWORKDAYS($H2,$T2)-1)</f>
        <v>338</v>
      </c>
      <c r="AB2" s="1">
        <f>IF($S2="","NON LIVRE",NETWORKDAYS($H2,$S2)-1)</f>
        <v>338</v>
      </c>
      <c r="AC2" s="1">
        <f>IF($S2="","NON LIVRE",NETWORKDAYS($R2,$S2)-1)</f>
        <v>0</v>
      </c>
      <c r="AD2" s="1">
        <f>IFERROR(IF($T2="","NON LIVRE",IF($P2="","PAS DE DEPART MATIERE",NETWORKDAYS($H2,$P2)-1)),$P2)</f>
        <v>318</v>
      </c>
      <c r="AE2" s="1">
        <f>IFERROR(IF($T2="","NON LIVRE",IF($I2="","PAS DE COMMANDE MATIERE",NETWORKDAYS($H2,$I2)-1)),$I2)</f>
        <v>281</v>
      </c>
      <c r="AF2" s="1">
        <f>IFERROR(IF($T2="","NON LIVRE",IF($J2="","PAS DE COMMANDE MATIERE",NETWORKDAYS($I2,$J2)-1)),$J2)</f>
        <v>27</v>
      </c>
      <c r="AG2" s="1">
        <f>IFERROR(IF($T2="","NON LIVRE",IF($P2="","PAS DE COMMANDE MATIERE",NETWORKDAYS($J2,$P2)-1)),$P2)</f>
        <v>10</v>
      </c>
      <c r="AH2" s="1">
        <f>IFERROR(IF($T2="","NON LIVRE",IF($Q2="","PAS DE DEPART TIRAGES OU ACHATS",NETWORKDAYS($H2,$Q2)-1)),$Q2)</f>
        <v>317</v>
      </c>
      <c r="AI2" s="1">
        <f>IFERROR(IF($T2="","NON LIVRE",IF($N2="","PAS DE DATE IMPRESSION",NETWORKDAYS($H2,$N2)-1)),$N2)</f>
        <v>311</v>
      </c>
      <c r="AJ2" s="1">
        <f>IFERROR(IF($T2="","NON LIVRE",IF($M2="","PAS DE DATE PAPIER",NETWORKDAYS($H2,$M2)-1)),$M2)</f>
        <v>288</v>
      </c>
      <c r="AK2" s="1">
        <f>IFERROR(IF($T2="","NON LIVRE",IF($O2="","PAS DE DATE CARTON",NETWORKDAYS($H2,$O2)-1)),$O2)</f>
        <v>290</v>
      </c>
      <c r="AL2" s="1">
        <f>IFERROR(IF($T2="","NON LIVRE",IF($K2="","PAS DE DATE FICHIER",NETWORKDAYS($H2,$K2)-1)),$K2)</f>
        <v>297</v>
      </c>
      <c r="AM2" s="1">
        <f>IFERROR(IF($T2="","NON LIVRE",IF($L2="","PAS DE DATE VALIDATION MODELE CLIENT",NETWORKDAYS($H2,$L2)-1)),$L2)</f>
        <v>296</v>
      </c>
      <c r="AN2" s="1">
        <f>IFERROR(IF($T2="","NON LIVRE",IF($N2="","PAS DE DATE IMPRESSION",NETWORKDAYS(MAX($K2,$L2),$N2)-1)),$N2)</f>
        <v>14</v>
      </c>
      <c r="AO2" s="1">
        <f>IFERROR(IF($T2="","NON LIVRE",IF($N2="","PAS D'IMPRESSION",IF($Q2="","PAS DE DATE VALIDATION MODELE CLIENT",NETWORKDAYS($N2,$Q2)-1))),$Q2)</f>
        <v>6</v>
      </c>
      <c r="AP2" s="1">
        <f>IFERROR(IF($T2="","NON LIVRE",IF(MAX($P2,$Q2)=0,"PAS D'EXPEDITION DE MATIERE, D'IMPRESSION, OU D'ACHAT",NETWORKDAYS(MIN($P2,$Q2),MAX($P2,$Q2))-1)),"PAS D'EXPEDITION DE MATIERE, D'IMPRESSION, OU D'ACHAT")</f>
        <v>1</v>
      </c>
      <c r="AQ2" s="1">
        <f t="shared" ref="AQ2:AQ65" si="0">IFERROR(IF($T2="","NON LIVRE",IF(MAX($P2,$Q2)=0,"PAS D'EXPEDITION DE MATIERE, D'IMPRESSION, OU D'ACHAT",NETWORKDAYS(MAX($P2,$Q2),$S2)-1)),"PAS D'EXPEDITION DE MATIERE, D'IMPRESSION, OU D'ACHAT")</f>
        <v>20</v>
      </c>
      <c r="AR2" s="1">
        <f>IFERROR(IF($T2="","NON LIVRE",IF($P2="","PAS D'IMPRESSION",IF($Q2="","PAS DE DATE VALIDATION MODELE CLIENT",NETWORKDAYS($S2,T2)-1))),$Q2)</f>
        <v>0</v>
      </c>
    </row>
    <row r="3" spans="1:44" x14ac:dyDescent="0.3">
      <c r="A3" s="1">
        <v>24229</v>
      </c>
      <c r="B3" s="1" t="s">
        <v>9</v>
      </c>
      <c r="C3" s="3" t="s">
        <v>11</v>
      </c>
      <c r="D3" s="4">
        <v>500</v>
      </c>
      <c r="E3" s="24">
        <f>_xlfn.XLOOKUP(A3,[1]PONCEBLANC!$Q:$Q,[1]PONCEBLANC!$J:$J,100,0)</f>
        <v>3965</v>
      </c>
      <c r="G3" s="2">
        <v>45581</v>
      </c>
      <c r="H3" s="2">
        <v>45604</v>
      </c>
      <c r="I3" s="2">
        <v>45594</v>
      </c>
      <c r="J3" s="2">
        <v>45615</v>
      </c>
      <c r="V3" s="3" t="s">
        <v>318</v>
      </c>
      <c r="Y3" s="1" t="str">
        <f t="shared" ref="Y3:Y66" si="1">IF(OR($T3="",$G3=""),"DATE MANQUANTE",NETWORKDAYS($G3,$T3)-1)</f>
        <v>DATE MANQUANTE</v>
      </c>
      <c r="Z3" s="1">
        <f t="shared" ref="Z3:Z66" si="2">IF(OR($H3="",$G3=""),"DATE MANQUANTE",NETWORKDAYS($G3,$H3)-1)</f>
        <v>17</v>
      </c>
      <c r="AA3" s="1" t="str">
        <f t="shared" ref="AA3:AA62" si="3">IF($T3="","NON LIVRE",NETWORKDAYS($H3,$T3)-1)</f>
        <v>NON LIVRE</v>
      </c>
      <c r="AB3" s="1" t="str">
        <f t="shared" ref="AB3:AB62" si="4">IF($S3="","NON LIVRE",NETWORKDAYS($H3,$S3)-1)</f>
        <v>NON LIVRE</v>
      </c>
      <c r="AC3" s="1" t="str">
        <f t="shared" ref="AC3:AC62" si="5">IF($S3="","NON LIVRE",NETWORKDAYS($R3,$S3)-1)</f>
        <v>NON LIVRE</v>
      </c>
      <c r="AD3" s="1" t="str">
        <f t="shared" ref="AD3:AD66" si="6">IFERROR(IF($T3="","NON LIVRE",IF($P3="","PAS DE DEPART MATIERE",NETWORKDAYS($H3,$P3)-1)),$P3)</f>
        <v>NON LIVRE</v>
      </c>
      <c r="AE3" s="1" t="str">
        <f t="shared" ref="AE3:AE62" si="7">IFERROR(IF($T3="","NON LIVRE",IF($I3="","PAS DE COMMANDE MATIERE",NETWORKDAYS($H3,$I3)-1)),$I3)</f>
        <v>NON LIVRE</v>
      </c>
      <c r="AF3" s="1" t="str">
        <f t="shared" ref="AF3:AF66" si="8">IFERROR(IF($T3="","NON LIVRE",IF($J3="","PAS DE COMMANDE MATIERE",NETWORKDAYS($I3,$J3)-1)),$J3)</f>
        <v>NON LIVRE</v>
      </c>
      <c r="AG3" s="1" t="str">
        <f t="shared" ref="AG3:AG66" si="9">IFERROR(IF($T3="","NON LIVRE",IF($P3="","PAS DE COMMANDE MATIERE",NETWORKDAYS($J3,$P3)-1)),$P3)</f>
        <v>NON LIVRE</v>
      </c>
      <c r="AH3" s="1" t="str">
        <f t="shared" ref="AH3:AH62" si="10">IFERROR(IF($T3="","NON LIVRE",IF($Q3="","PAS DE DEPART TIRAGES OU ACHATS",NETWORKDAYS($H3,$Q3)-1)),$Q3)</f>
        <v>NON LIVRE</v>
      </c>
      <c r="AI3" s="1" t="str">
        <f t="shared" ref="AI3:AI66" si="11">IFERROR(IF($T3="","NON LIVRE",IF($N3="","PAS DE DATE IMPRESSION",NETWORKDAYS($H3,$N3)-1)),$N3)</f>
        <v>NON LIVRE</v>
      </c>
      <c r="AJ3" s="1" t="str">
        <f t="shared" ref="AJ3:AJ66" si="12">IFERROR(IF($T3="","NON LIVRE",IF($M3="","PAS DE DATE PAPIER",NETWORKDAYS($H3,$M3)-1)),$M3)</f>
        <v>NON LIVRE</v>
      </c>
      <c r="AK3" s="1" t="str">
        <f t="shared" ref="AK3:AK66" si="13">IFERROR(IF($T3="","NON LIVRE",IF($O3="","PAS DE DATE CARTON",NETWORKDAYS($H3,$O3)-1)),$O3)</f>
        <v>NON LIVRE</v>
      </c>
      <c r="AL3" s="1" t="str">
        <f t="shared" ref="AL3:AL66" si="14">IFERROR(IF($T3="","NON LIVRE",IF($K3="","PAS DE DATE FICHIER",NETWORKDAYS($H3,$K3)-1)),$K3)</f>
        <v>NON LIVRE</v>
      </c>
      <c r="AM3" s="1" t="str">
        <f t="shared" ref="AM3:AM66" si="15">IFERROR(IF($T3="","NON LIVRE",IF($L3="","PAS DE DATE VALIDATION MODELE CLIENT",NETWORKDAYS($H3,$L3)-1)),$L3)</f>
        <v>NON LIVRE</v>
      </c>
      <c r="AN3" s="1" t="str">
        <f t="shared" ref="AN3:AN66" si="16">IFERROR(IF($T3="","NON LIVRE",IF($N3="","PAS DE DATE IMPRESSION",NETWORKDAYS(MAX($K3,$L3),$N3)-1)),$N3)</f>
        <v>NON LIVRE</v>
      </c>
      <c r="AO3" s="1" t="str">
        <f t="shared" ref="AO3:AO4" si="17">IFERROR(IF($T3="","NON LIVRE",IF($N3="","PAS D'IMPRESSION",IF($Q3="","PAS DE DATE VALIDATION MODELE CLIENT",NETWORKDAYS($N3,$Q3)-1))),$Q3)</f>
        <v>NON LIVRE</v>
      </c>
      <c r="AP3" s="1" t="str">
        <f t="shared" ref="AP3:AP66" si="18">IFERROR(IF($T3="","NON LIVRE",IF(MAX($P3,$Q3)=0,"PAS D'EXPEDITION DE MATIERE, D'IMPRESSION, OU D'ACHAT",NETWORKDAYS(MIN($P3,$Q3),MAX($P3,$Q3))-1)),"PAS D'EXPEDITION DE MATIERE, D'IMPRESSION, OU D'ACHAT")</f>
        <v>NON LIVRE</v>
      </c>
      <c r="AQ3" s="1" t="str">
        <f t="shared" si="0"/>
        <v>NON LIVRE</v>
      </c>
      <c r="AR3" s="1" t="str">
        <f t="shared" ref="AR3:AR66" si="19">IFERROR(IF($T3="","NON LIVRE",IF($P3="","PAS D'IMPRESSION",IF($Q3="","PAS DE DATE VALIDATION MODELE CLIENT",NETWORKDAYS($S3,T3)-1))),$Q3)</f>
        <v>NON LIVRE</v>
      </c>
    </row>
    <row r="4" spans="1:44" x14ac:dyDescent="0.3">
      <c r="A4" s="1">
        <v>24238</v>
      </c>
      <c r="B4" s="1" t="s">
        <v>12</v>
      </c>
      <c r="C4" s="5" t="s">
        <v>129</v>
      </c>
      <c r="D4" s="4">
        <v>1500</v>
      </c>
      <c r="E4" s="24">
        <f>_xlfn.XLOOKUP(A4,[1]PONCEBLANC!$Q:$Q,[1]PONCEBLANC!$J:$J,100,0)</f>
        <v>61000</v>
      </c>
      <c r="F4" s="2" t="s">
        <v>137</v>
      </c>
      <c r="G4" s="2">
        <v>45537</v>
      </c>
      <c r="H4" s="2">
        <v>45615</v>
      </c>
      <c r="S4" s="2">
        <v>46189</v>
      </c>
      <c r="T4" s="2">
        <v>46189</v>
      </c>
      <c r="Y4" s="1">
        <f t="shared" si="1"/>
        <v>466</v>
      </c>
      <c r="Z4" s="1">
        <f t="shared" si="2"/>
        <v>56</v>
      </c>
      <c r="AA4" s="1">
        <f t="shared" si="3"/>
        <v>410</v>
      </c>
      <c r="AB4" s="1">
        <f t="shared" si="4"/>
        <v>410</v>
      </c>
      <c r="AC4" s="1">
        <f t="shared" si="5"/>
        <v>32991</v>
      </c>
      <c r="AD4" s="1" t="str">
        <f t="shared" si="6"/>
        <v>PAS DE DEPART MATIERE</v>
      </c>
      <c r="AE4" s="1" t="str">
        <f t="shared" si="7"/>
        <v>PAS DE COMMANDE MATIERE</v>
      </c>
      <c r="AF4" s="1" t="str">
        <f t="shared" si="8"/>
        <v>PAS DE COMMANDE MATIERE</v>
      </c>
      <c r="AG4" s="1" t="str">
        <f t="shared" si="9"/>
        <v>PAS DE COMMANDE MATIERE</v>
      </c>
      <c r="AH4" s="1" t="str">
        <f t="shared" si="10"/>
        <v>PAS DE DEPART TIRAGES OU ACHATS</v>
      </c>
      <c r="AI4" s="1" t="str">
        <f t="shared" si="11"/>
        <v>PAS DE DATE IMPRESSION</v>
      </c>
      <c r="AJ4" s="1" t="str">
        <f t="shared" si="12"/>
        <v>PAS DE DATE PAPIER</v>
      </c>
      <c r="AK4" s="1" t="str">
        <f t="shared" si="13"/>
        <v>PAS DE DATE CARTON</v>
      </c>
      <c r="AL4" s="1" t="str">
        <f t="shared" si="14"/>
        <v>PAS DE DATE FICHIER</v>
      </c>
      <c r="AM4" s="1" t="str">
        <f t="shared" si="15"/>
        <v>PAS DE DATE VALIDATION MODELE CLIENT</v>
      </c>
      <c r="AN4" s="1" t="str">
        <f t="shared" si="16"/>
        <v>PAS DE DATE IMPRESSION</v>
      </c>
      <c r="AO4" s="1" t="str">
        <f t="shared" si="17"/>
        <v>PAS D'IMPRESSION</v>
      </c>
      <c r="AP4" s="1" t="str">
        <f t="shared" si="18"/>
        <v>PAS D'EXPEDITION DE MATIERE, D'IMPRESSION, OU D'ACHAT</v>
      </c>
      <c r="AQ4" s="1" t="str">
        <f t="shared" si="0"/>
        <v>PAS D'EXPEDITION DE MATIERE, D'IMPRESSION, OU D'ACHAT</v>
      </c>
      <c r="AR4" s="1" t="str">
        <f t="shared" si="19"/>
        <v>PAS D'IMPRESSION</v>
      </c>
    </row>
    <row r="5" spans="1:44" x14ac:dyDescent="0.3">
      <c r="A5" s="1">
        <v>24238</v>
      </c>
      <c r="B5" s="1" t="s">
        <v>12</v>
      </c>
      <c r="C5" s="5" t="s">
        <v>130</v>
      </c>
      <c r="D5" s="4">
        <v>1000</v>
      </c>
      <c r="E5" s="24">
        <f>_xlfn.XLOOKUP(A5,[1]PONCEBLANC!$Q:$Q,[1]PONCEBLANC!$J:$J,100,0)</f>
        <v>61000</v>
      </c>
      <c r="F5" s="2" t="s">
        <v>137</v>
      </c>
      <c r="G5" s="2">
        <v>45537</v>
      </c>
      <c r="H5" s="2">
        <v>45615</v>
      </c>
      <c r="S5" s="2">
        <v>46189</v>
      </c>
      <c r="T5" s="2">
        <v>46189</v>
      </c>
      <c r="Y5" s="1">
        <f t="shared" si="1"/>
        <v>466</v>
      </c>
      <c r="Z5" s="1">
        <f t="shared" si="2"/>
        <v>56</v>
      </c>
      <c r="AA5" s="1">
        <f t="shared" si="3"/>
        <v>410</v>
      </c>
      <c r="AB5" s="1">
        <f t="shared" si="4"/>
        <v>410</v>
      </c>
      <c r="AC5" s="1">
        <f t="shared" si="5"/>
        <v>32991</v>
      </c>
      <c r="AD5" s="1" t="str">
        <f t="shared" si="6"/>
        <v>PAS DE DEPART MATIERE</v>
      </c>
      <c r="AE5" s="1" t="str">
        <f t="shared" si="7"/>
        <v>PAS DE COMMANDE MATIERE</v>
      </c>
      <c r="AF5" s="1" t="str">
        <f t="shared" si="8"/>
        <v>PAS DE COMMANDE MATIERE</v>
      </c>
      <c r="AG5" s="1" t="str">
        <f t="shared" si="9"/>
        <v>PAS DE COMMANDE MATIERE</v>
      </c>
      <c r="AH5" s="1" t="str">
        <f t="shared" si="10"/>
        <v>PAS DE DEPART TIRAGES OU ACHATS</v>
      </c>
      <c r="AI5" s="1" t="str">
        <f t="shared" si="11"/>
        <v>PAS DE DATE IMPRESSION</v>
      </c>
      <c r="AJ5" s="1" t="str">
        <f t="shared" si="12"/>
        <v>PAS DE DATE PAPIER</v>
      </c>
      <c r="AK5" s="1" t="str">
        <f t="shared" si="13"/>
        <v>PAS DE DATE CARTON</v>
      </c>
      <c r="AL5" s="1" t="str">
        <f t="shared" si="14"/>
        <v>PAS DE DATE FICHIER</v>
      </c>
      <c r="AM5" s="1" t="str">
        <f t="shared" si="15"/>
        <v>PAS DE DATE VALIDATION MODELE CLIENT</v>
      </c>
      <c r="AN5" s="1" t="str">
        <f t="shared" si="16"/>
        <v>PAS DE DATE IMPRESSION</v>
      </c>
      <c r="AO5" s="1" t="str">
        <f t="shared" ref="AO5:AO37" si="20">IFERROR(IF($T5="","NON LIVRE",IF($N5="","PAS D'IMPRESSION",IF($Q5="","PAS DE DATE DEPART EN PROD TIRAGES ET ACHATS",NETWORKDAYS($N5,$Q5)-1))),$Q5)</f>
        <v>PAS D'IMPRESSION</v>
      </c>
      <c r="AP5" s="1" t="str">
        <f t="shared" si="18"/>
        <v>PAS D'EXPEDITION DE MATIERE, D'IMPRESSION, OU D'ACHAT</v>
      </c>
      <c r="AQ5" s="1" t="str">
        <f t="shared" si="0"/>
        <v>PAS D'EXPEDITION DE MATIERE, D'IMPRESSION, OU D'ACHAT</v>
      </c>
      <c r="AR5" s="1" t="str">
        <f t="shared" si="19"/>
        <v>PAS D'IMPRESSION</v>
      </c>
    </row>
    <row r="6" spans="1:44" x14ac:dyDescent="0.3">
      <c r="A6" s="1">
        <v>24238</v>
      </c>
      <c r="B6" s="1" t="s">
        <v>12</v>
      </c>
      <c r="C6" s="5" t="s">
        <v>131</v>
      </c>
      <c r="D6" s="4">
        <v>1250</v>
      </c>
      <c r="E6" s="24">
        <f>_xlfn.XLOOKUP(A6,[1]PONCEBLANC!$Q:$Q,[1]PONCEBLANC!$J:$J,100,0)</f>
        <v>61000</v>
      </c>
      <c r="F6" s="2" t="s">
        <v>137</v>
      </c>
      <c r="G6" s="2">
        <v>45537</v>
      </c>
      <c r="H6" s="2">
        <v>45615</v>
      </c>
      <c r="S6" s="2">
        <v>46189</v>
      </c>
      <c r="T6" s="2">
        <v>46189</v>
      </c>
      <c r="Y6" s="1">
        <f t="shared" si="1"/>
        <v>466</v>
      </c>
      <c r="Z6" s="1">
        <f t="shared" si="2"/>
        <v>56</v>
      </c>
      <c r="AA6" s="1">
        <f t="shared" si="3"/>
        <v>410</v>
      </c>
      <c r="AB6" s="1">
        <f t="shared" si="4"/>
        <v>410</v>
      </c>
      <c r="AC6" s="1">
        <f t="shared" si="5"/>
        <v>32991</v>
      </c>
      <c r="AD6" s="1" t="str">
        <f t="shared" si="6"/>
        <v>PAS DE DEPART MATIERE</v>
      </c>
      <c r="AE6" s="1" t="str">
        <f t="shared" si="7"/>
        <v>PAS DE COMMANDE MATIERE</v>
      </c>
      <c r="AF6" s="1" t="str">
        <f t="shared" si="8"/>
        <v>PAS DE COMMANDE MATIERE</v>
      </c>
      <c r="AG6" s="1" t="str">
        <f t="shared" si="9"/>
        <v>PAS DE COMMANDE MATIERE</v>
      </c>
      <c r="AH6" s="1" t="str">
        <f t="shared" si="10"/>
        <v>PAS DE DEPART TIRAGES OU ACHATS</v>
      </c>
      <c r="AI6" s="1" t="str">
        <f t="shared" si="11"/>
        <v>PAS DE DATE IMPRESSION</v>
      </c>
      <c r="AJ6" s="1" t="str">
        <f t="shared" si="12"/>
        <v>PAS DE DATE PAPIER</v>
      </c>
      <c r="AK6" s="1" t="str">
        <f t="shared" si="13"/>
        <v>PAS DE DATE CARTON</v>
      </c>
      <c r="AL6" s="1" t="str">
        <f t="shared" si="14"/>
        <v>PAS DE DATE FICHIER</v>
      </c>
      <c r="AM6" s="1" t="str">
        <f t="shared" si="15"/>
        <v>PAS DE DATE VALIDATION MODELE CLIENT</v>
      </c>
      <c r="AN6" s="1" t="str">
        <f t="shared" si="16"/>
        <v>PAS DE DATE IMPRESSION</v>
      </c>
      <c r="AO6" s="1" t="str">
        <f t="shared" si="20"/>
        <v>PAS D'IMPRESSION</v>
      </c>
      <c r="AP6" s="1" t="str">
        <f t="shared" si="18"/>
        <v>PAS D'EXPEDITION DE MATIERE, D'IMPRESSION, OU D'ACHAT</v>
      </c>
      <c r="AQ6" s="1" t="str">
        <f t="shared" si="0"/>
        <v>PAS D'EXPEDITION DE MATIERE, D'IMPRESSION, OU D'ACHAT</v>
      </c>
      <c r="AR6" s="1" t="str">
        <f t="shared" si="19"/>
        <v>PAS D'IMPRESSION</v>
      </c>
    </row>
    <row r="7" spans="1:44" x14ac:dyDescent="0.3">
      <c r="A7" s="1">
        <v>24238</v>
      </c>
      <c r="B7" s="1" t="s">
        <v>12</v>
      </c>
      <c r="C7" s="5" t="s">
        <v>132</v>
      </c>
      <c r="D7" s="4">
        <v>7000</v>
      </c>
      <c r="E7" s="24">
        <f>_xlfn.XLOOKUP(A7,[1]PONCEBLANC!$Q:$Q,[1]PONCEBLANC!$J:$J,100,0)</f>
        <v>61000</v>
      </c>
      <c r="F7" s="2" t="s">
        <v>137</v>
      </c>
      <c r="G7" s="2">
        <v>45537</v>
      </c>
      <c r="H7" s="2">
        <v>45615</v>
      </c>
      <c r="S7" s="2">
        <v>46189</v>
      </c>
      <c r="T7" s="2">
        <v>46189</v>
      </c>
      <c r="Y7" s="1">
        <f t="shared" si="1"/>
        <v>466</v>
      </c>
      <c r="Z7" s="1">
        <f t="shared" si="2"/>
        <v>56</v>
      </c>
      <c r="AA7" s="1">
        <f t="shared" si="3"/>
        <v>410</v>
      </c>
      <c r="AB7" s="1">
        <f t="shared" si="4"/>
        <v>410</v>
      </c>
      <c r="AC7" s="1">
        <f t="shared" si="5"/>
        <v>32991</v>
      </c>
      <c r="AD7" s="1" t="str">
        <f t="shared" si="6"/>
        <v>PAS DE DEPART MATIERE</v>
      </c>
      <c r="AE7" s="1" t="str">
        <f t="shared" si="7"/>
        <v>PAS DE COMMANDE MATIERE</v>
      </c>
      <c r="AF7" s="1" t="str">
        <f t="shared" si="8"/>
        <v>PAS DE COMMANDE MATIERE</v>
      </c>
      <c r="AG7" s="1" t="str">
        <f t="shared" si="9"/>
        <v>PAS DE COMMANDE MATIERE</v>
      </c>
      <c r="AH7" s="1" t="str">
        <f t="shared" si="10"/>
        <v>PAS DE DEPART TIRAGES OU ACHATS</v>
      </c>
      <c r="AI7" s="1" t="str">
        <f t="shared" si="11"/>
        <v>PAS DE DATE IMPRESSION</v>
      </c>
      <c r="AJ7" s="1" t="str">
        <f t="shared" si="12"/>
        <v>PAS DE DATE PAPIER</v>
      </c>
      <c r="AK7" s="1" t="str">
        <f t="shared" si="13"/>
        <v>PAS DE DATE CARTON</v>
      </c>
      <c r="AL7" s="1" t="str">
        <f t="shared" si="14"/>
        <v>PAS DE DATE FICHIER</v>
      </c>
      <c r="AM7" s="1" t="str">
        <f t="shared" si="15"/>
        <v>PAS DE DATE VALIDATION MODELE CLIENT</v>
      </c>
      <c r="AN7" s="1" t="str">
        <f t="shared" si="16"/>
        <v>PAS DE DATE IMPRESSION</v>
      </c>
      <c r="AO7" s="1" t="str">
        <f t="shared" si="20"/>
        <v>PAS D'IMPRESSION</v>
      </c>
      <c r="AP7" s="1" t="str">
        <f t="shared" si="18"/>
        <v>PAS D'EXPEDITION DE MATIERE, D'IMPRESSION, OU D'ACHAT</v>
      </c>
      <c r="AQ7" s="1" t="str">
        <f t="shared" si="0"/>
        <v>PAS D'EXPEDITION DE MATIERE, D'IMPRESSION, OU D'ACHAT</v>
      </c>
      <c r="AR7" s="1" t="str">
        <f t="shared" si="19"/>
        <v>PAS D'IMPRESSION</v>
      </c>
    </row>
    <row r="8" spans="1:44" x14ac:dyDescent="0.3">
      <c r="A8" s="1">
        <v>25022</v>
      </c>
      <c r="B8" s="1" t="s">
        <v>13</v>
      </c>
      <c r="C8" s="3" t="s">
        <v>14</v>
      </c>
      <c r="D8" s="4">
        <v>10000</v>
      </c>
      <c r="E8" s="24">
        <f>_xlfn.XLOOKUP(A8,[1]PONCEBLANC!$Q:$Q,[1]PONCEBLANC!$J:$J,100,0)</f>
        <v>50900</v>
      </c>
      <c r="F8" s="2" t="s">
        <v>133</v>
      </c>
      <c r="G8" s="2">
        <v>45664</v>
      </c>
      <c r="H8" s="2">
        <v>45694</v>
      </c>
      <c r="I8" s="2">
        <v>45698</v>
      </c>
      <c r="J8" s="2">
        <v>45750</v>
      </c>
      <c r="K8" s="2">
        <v>45803</v>
      </c>
      <c r="L8" s="2">
        <v>45749</v>
      </c>
      <c r="M8" s="2">
        <v>45733</v>
      </c>
      <c r="N8" s="2">
        <v>45838</v>
      </c>
      <c r="O8" s="2">
        <v>45722</v>
      </c>
      <c r="P8" s="2">
        <v>45835</v>
      </c>
      <c r="Q8" s="2">
        <v>45841</v>
      </c>
      <c r="R8" s="2">
        <v>45891</v>
      </c>
      <c r="S8" s="2">
        <v>45891</v>
      </c>
      <c r="T8" s="2">
        <v>45968</v>
      </c>
      <c r="U8" s="1">
        <v>4</v>
      </c>
      <c r="V8" s="3" t="s">
        <v>320</v>
      </c>
      <c r="Y8" s="1">
        <f t="shared" si="1"/>
        <v>218</v>
      </c>
      <c r="Z8" s="1">
        <f t="shared" si="2"/>
        <v>22</v>
      </c>
      <c r="AA8" s="1">
        <f t="shared" si="3"/>
        <v>196</v>
      </c>
      <c r="AB8" s="1">
        <f t="shared" si="4"/>
        <v>141</v>
      </c>
      <c r="AC8" s="1">
        <f t="shared" si="5"/>
        <v>0</v>
      </c>
      <c r="AD8" s="1">
        <f t="shared" si="6"/>
        <v>101</v>
      </c>
      <c r="AE8" s="1">
        <f t="shared" si="7"/>
        <v>2</v>
      </c>
      <c r="AF8" s="1">
        <f t="shared" si="8"/>
        <v>38</v>
      </c>
      <c r="AG8" s="1">
        <f t="shared" si="9"/>
        <v>61</v>
      </c>
      <c r="AH8" s="1">
        <f t="shared" si="10"/>
        <v>105</v>
      </c>
      <c r="AI8" s="1">
        <f t="shared" si="11"/>
        <v>102</v>
      </c>
      <c r="AJ8" s="1">
        <f t="shared" si="12"/>
        <v>27</v>
      </c>
      <c r="AK8" s="1">
        <f t="shared" si="13"/>
        <v>20</v>
      </c>
      <c r="AL8" s="1">
        <f t="shared" si="14"/>
        <v>77</v>
      </c>
      <c r="AM8" s="1">
        <f t="shared" si="15"/>
        <v>39</v>
      </c>
      <c r="AN8" s="1">
        <f t="shared" si="16"/>
        <v>25</v>
      </c>
      <c r="AO8" s="1">
        <f t="shared" si="20"/>
        <v>3</v>
      </c>
      <c r="AP8" s="1">
        <f t="shared" si="18"/>
        <v>4</v>
      </c>
      <c r="AQ8" s="1">
        <f t="shared" si="0"/>
        <v>36</v>
      </c>
      <c r="AR8" s="1">
        <f t="shared" si="19"/>
        <v>55</v>
      </c>
    </row>
    <row r="9" spans="1:44" x14ac:dyDescent="0.3">
      <c r="A9" s="1">
        <v>25030</v>
      </c>
      <c r="B9" s="1" t="s">
        <v>13</v>
      </c>
      <c r="C9" s="3" t="s">
        <v>15</v>
      </c>
      <c r="D9" s="4">
        <v>10000</v>
      </c>
      <c r="E9" s="24">
        <f>_xlfn.XLOOKUP(A9,[1]PONCEBLANC!$Q:$Q,[1]PONCEBLANC!$J:$J,100,0)</f>
        <v>71900</v>
      </c>
      <c r="F9" s="2" t="s">
        <v>133</v>
      </c>
      <c r="G9" s="2">
        <v>45686</v>
      </c>
      <c r="H9" s="2">
        <v>45706</v>
      </c>
      <c r="I9" s="2">
        <v>45707</v>
      </c>
      <c r="J9" s="2">
        <v>45750</v>
      </c>
      <c r="K9" s="2">
        <v>45848</v>
      </c>
      <c r="L9" s="2">
        <v>45803</v>
      </c>
      <c r="M9" s="2">
        <v>45728</v>
      </c>
      <c r="N9" s="2">
        <v>45838</v>
      </c>
      <c r="O9" s="2">
        <v>45754</v>
      </c>
      <c r="P9" s="2">
        <v>45814</v>
      </c>
      <c r="Q9" s="2">
        <v>45854</v>
      </c>
      <c r="R9" s="2">
        <v>45912</v>
      </c>
      <c r="S9" s="2">
        <v>45912</v>
      </c>
      <c r="T9" s="2">
        <v>45961</v>
      </c>
      <c r="U9" s="1">
        <v>7</v>
      </c>
      <c r="V9" s="3" t="s">
        <v>320</v>
      </c>
      <c r="Y9" s="1">
        <f t="shared" si="1"/>
        <v>197</v>
      </c>
      <c r="Z9" s="1">
        <f t="shared" si="2"/>
        <v>14</v>
      </c>
      <c r="AA9" s="1">
        <f t="shared" si="3"/>
        <v>183</v>
      </c>
      <c r="AB9" s="1">
        <f t="shared" si="4"/>
        <v>148</v>
      </c>
      <c r="AC9" s="1">
        <f t="shared" si="5"/>
        <v>0</v>
      </c>
      <c r="AD9" s="1">
        <f t="shared" si="6"/>
        <v>78</v>
      </c>
      <c r="AE9" s="1">
        <f t="shared" si="7"/>
        <v>1</v>
      </c>
      <c r="AF9" s="1">
        <f t="shared" si="8"/>
        <v>31</v>
      </c>
      <c r="AG9" s="1">
        <f t="shared" si="9"/>
        <v>46</v>
      </c>
      <c r="AH9" s="1">
        <f>IFERROR(IF($T9="","NON LIVRE",IF($Q9="","PAS DE DEPART TIRAGES OU ACHATS",NETWORKDAYS($H9,$Q9)-1)),$Q9)</f>
        <v>106</v>
      </c>
      <c r="AI9" s="1">
        <f t="shared" si="11"/>
        <v>94</v>
      </c>
      <c r="AJ9" s="1">
        <f t="shared" si="12"/>
        <v>16</v>
      </c>
      <c r="AK9" s="1">
        <f t="shared" si="13"/>
        <v>34</v>
      </c>
      <c r="AL9" s="1">
        <f t="shared" si="14"/>
        <v>102</v>
      </c>
      <c r="AM9" s="1">
        <f t="shared" si="15"/>
        <v>69</v>
      </c>
      <c r="AN9" s="1">
        <f t="shared" si="16"/>
        <v>-10</v>
      </c>
      <c r="AO9" s="1">
        <f t="shared" si="20"/>
        <v>12</v>
      </c>
      <c r="AP9" s="1">
        <f t="shared" si="18"/>
        <v>28</v>
      </c>
      <c r="AQ9" s="1">
        <f t="shared" si="0"/>
        <v>42</v>
      </c>
      <c r="AR9" s="1">
        <f t="shared" si="19"/>
        <v>35</v>
      </c>
    </row>
    <row r="10" spans="1:44" x14ac:dyDescent="0.3">
      <c r="A10" s="1">
        <v>25031</v>
      </c>
      <c r="B10" s="1" t="s">
        <v>13</v>
      </c>
      <c r="C10" s="3" t="s">
        <v>16</v>
      </c>
      <c r="D10" s="4">
        <v>20000</v>
      </c>
      <c r="E10" s="24">
        <f>_xlfn.XLOOKUP(A10,[1]PONCEBLANC!$Q:$Q,[1]PONCEBLANC!$J:$J,100,0)</f>
        <v>60800</v>
      </c>
      <c r="F10" s="2" t="s">
        <v>135</v>
      </c>
      <c r="G10" s="2">
        <v>45686</v>
      </c>
      <c r="H10" s="2">
        <v>45706</v>
      </c>
      <c r="I10" s="2">
        <v>45707</v>
      </c>
      <c r="J10" s="2">
        <v>45750</v>
      </c>
      <c r="K10" s="2">
        <v>45835</v>
      </c>
      <c r="L10" s="2">
        <v>45803</v>
      </c>
      <c r="M10" s="2">
        <v>45728</v>
      </c>
      <c r="N10" s="2">
        <v>45839</v>
      </c>
      <c r="P10" s="2">
        <v>45814</v>
      </c>
      <c r="Q10" s="2">
        <v>45840</v>
      </c>
      <c r="R10" s="2">
        <v>45863</v>
      </c>
      <c r="S10" s="2">
        <v>45863</v>
      </c>
      <c r="T10" s="2">
        <v>45961</v>
      </c>
      <c r="U10" s="1">
        <v>10</v>
      </c>
      <c r="V10" s="3" t="s">
        <v>320</v>
      </c>
      <c r="W10" s="1" t="s">
        <v>321</v>
      </c>
      <c r="Y10" s="1">
        <f t="shared" si="1"/>
        <v>197</v>
      </c>
      <c r="Z10" s="1">
        <f t="shared" si="2"/>
        <v>14</v>
      </c>
      <c r="AA10" s="1">
        <f t="shared" si="3"/>
        <v>183</v>
      </c>
      <c r="AB10" s="1">
        <f t="shared" si="4"/>
        <v>113</v>
      </c>
      <c r="AC10" s="1">
        <f t="shared" si="5"/>
        <v>0</v>
      </c>
      <c r="AD10" s="1">
        <f t="shared" si="6"/>
        <v>78</v>
      </c>
      <c r="AE10" s="1">
        <f t="shared" si="7"/>
        <v>1</v>
      </c>
      <c r="AF10" s="1">
        <f t="shared" si="8"/>
        <v>31</v>
      </c>
      <c r="AG10" s="1">
        <f t="shared" si="9"/>
        <v>46</v>
      </c>
      <c r="AH10" s="1">
        <f t="shared" si="10"/>
        <v>96</v>
      </c>
      <c r="AI10" s="1">
        <f t="shared" si="11"/>
        <v>95</v>
      </c>
      <c r="AJ10" s="1">
        <f t="shared" si="12"/>
        <v>16</v>
      </c>
      <c r="AK10" s="1" t="str">
        <f t="shared" si="13"/>
        <v>PAS DE DATE CARTON</v>
      </c>
      <c r="AL10" s="1">
        <f t="shared" si="14"/>
        <v>93</v>
      </c>
      <c r="AM10" s="1">
        <f t="shared" si="15"/>
        <v>69</v>
      </c>
      <c r="AN10" s="1">
        <f t="shared" si="16"/>
        <v>2</v>
      </c>
      <c r="AO10" s="1">
        <f t="shared" si="20"/>
        <v>1</v>
      </c>
      <c r="AP10" s="1">
        <f t="shared" si="18"/>
        <v>18</v>
      </c>
      <c r="AQ10" s="1">
        <f t="shared" si="0"/>
        <v>17</v>
      </c>
      <c r="AR10" s="1">
        <f t="shared" si="19"/>
        <v>70</v>
      </c>
    </row>
    <row r="11" spans="1:44" x14ac:dyDescent="0.3">
      <c r="A11" s="1">
        <v>25032</v>
      </c>
      <c r="B11" s="1" t="s">
        <v>17</v>
      </c>
      <c r="C11" s="3" t="s">
        <v>18</v>
      </c>
      <c r="D11" s="4">
        <v>7000</v>
      </c>
      <c r="E11" s="24">
        <f>_xlfn.XLOOKUP(A11,[1]PONCEBLANC!$Q:$Q,[1]PONCEBLANC!$J:$J,100,0)</f>
        <v>44100</v>
      </c>
      <c r="F11" s="2" t="s">
        <v>134</v>
      </c>
      <c r="G11" s="2">
        <v>45686</v>
      </c>
      <c r="H11" s="2">
        <v>45706</v>
      </c>
      <c r="I11" s="2">
        <v>45786</v>
      </c>
      <c r="J11" s="2">
        <v>45862</v>
      </c>
      <c r="K11" s="2">
        <v>45861</v>
      </c>
      <c r="L11" s="2">
        <v>45898</v>
      </c>
      <c r="N11" s="2">
        <v>45881</v>
      </c>
      <c r="O11" s="2">
        <v>45754</v>
      </c>
      <c r="P11" s="2">
        <v>45895</v>
      </c>
      <c r="Q11" s="2">
        <v>45897</v>
      </c>
      <c r="R11" s="2">
        <v>45926</v>
      </c>
      <c r="S11" s="2">
        <v>45926</v>
      </c>
      <c r="T11" s="2">
        <v>45947</v>
      </c>
      <c r="U11" s="1">
        <v>4</v>
      </c>
      <c r="Y11" s="1">
        <f t="shared" si="1"/>
        <v>187</v>
      </c>
      <c r="Z11" s="1">
        <f t="shared" si="2"/>
        <v>14</v>
      </c>
      <c r="AA11" s="1">
        <f t="shared" si="3"/>
        <v>173</v>
      </c>
      <c r="AB11" s="1">
        <f t="shared" si="4"/>
        <v>158</v>
      </c>
      <c r="AC11" s="1">
        <f t="shared" si="5"/>
        <v>0</v>
      </c>
      <c r="AD11" s="1">
        <f t="shared" si="6"/>
        <v>135</v>
      </c>
      <c r="AE11" s="1">
        <f t="shared" si="7"/>
        <v>58</v>
      </c>
      <c r="AF11" s="1">
        <f t="shared" si="8"/>
        <v>54</v>
      </c>
      <c r="AG11" s="1">
        <f t="shared" si="9"/>
        <v>23</v>
      </c>
      <c r="AH11" s="1">
        <f t="shared" si="10"/>
        <v>137</v>
      </c>
      <c r="AI11" s="1">
        <f t="shared" si="11"/>
        <v>125</v>
      </c>
      <c r="AJ11" s="1" t="str">
        <f t="shared" si="12"/>
        <v>PAS DE DATE PAPIER</v>
      </c>
      <c r="AK11" s="1">
        <f t="shared" si="13"/>
        <v>34</v>
      </c>
      <c r="AL11" s="1">
        <f t="shared" si="14"/>
        <v>111</v>
      </c>
      <c r="AM11" s="1">
        <f t="shared" si="15"/>
        <v>138</v>
      </c>
      <c r="AN11" s="1">
        <f t="shared" si="16"/>
        <v>-15</v>
      </c>
      <c r="AO11" s="1">
        <f t="shared" si="20"/>
        <v>12</v>
      </c>
      <c r="AP11" s="1">
        <f t="shared" si="18"/>
        <v>2</v>
      </c>
      <c r="AQ11" s="1">
        <f t="shared" si="0"/>
        <v>21</v>
      </c>
      <c r="AR11" s="1">
        <f t="shared" si="19"/>
        <v>15</v>
      </c>
    </row>
    <row r="12" spans="1:44" x14ac:dyDescent="0.3">
      <c r="A12" s="1">
        <v>25034</v>
      </c>
      <c r="B12" s="1" t="s">
        <v>17</v>
      </c>
      <c r="C12" s="3" t="s">
        <v>19</v>
      </c>
      <c r="D12" s="4">
        <v>1000</v>
      </c>
      <c r="E12" s="24">
        <f>_xlfn.XLOOKUP(A12,[1]PONCEBLANC!$Q:$Q,[1]PONCEBLANC!$J:$J,100,0)</f>
        <v>5730</v>
      </c>
      <c r="F12" s="2" t="s">
        <v>136</v>
      </c>
      <c r="G12" s="2">
        <v>45686</v>
      </c>
      <c r="H12" s="2">
        <v>45706</v>
      </c>
      <c r="I12" s="2">
        <v>45783</v>
      </c>
      <c r="J12" s="2">
        <v>45873</v>
      </c>
      <c r="K12" s="2">
        <v>45895</v>
      </c>
      <c r="L12" s="2">
        <v>45875</v>
      </c>
      <c r="N12" s="2">
        <v>45903</v>
      </c>
      <c r="O12" s="2">
        <v>45722</v>
      </c>
      <c r="P12" s="2">
        <v>45898</v>
      </c>
      <c r="Q12" s="2">
        <v>45905</v>
      </c>
      <c r="R12" s="2">
        <v>45926</v>
      </c>
      <c r="S12" s="2">
        <v>45926</v>
      </c>
      <c r="T12" s="2">
        <f>S12</f>
        <v>45926</v>
      </c>
      <c r="U12" s="1">
        <v>1</v>
      </c>
      <c r="Y12" s="1">
        <f t="shared" si="1"/>
        <v>172</v>
      </c>
      <c r="Z12" s="1">
        <f t="shared" si="2"/>
        <v>14</v>
      </c>
      <c r="AA12" s="1">
        <f t="shared" si="3"/>
        <v>158</v>
      </c>
      <c r="AB12" s="1">
        <f t="shared" si="4"/>
        <v>158</v>
      </c>
      <c r="AC12" s="1">
        <f t="shared" si="5"/>
        <v>0</v>
      </c>
      <c r="AD12" s="1">
        <f t="shared" si="6"/>
        <v>138</v>
      </c>
      <c r="AE12" s="1">
        <f t="shared" si="7"/>
        <v>55</v>
      </c>
      <c r="AF12" s="1">
        <f t="shared" si="8"/>
        <v>64</v>
      </c>
      <c r="AG12" s="1">
        <f t="shared" si="9"/>
        <v>19</v>
      </c>
      <c r="AH12" s="1">
        <f t="shared" si="10"/>
        <v>143</v>
      </c>
      <c r="AI12" s="1">
        <f t="shared" si="11"/>
        <v>141</v>
      </c>
      <c r="AJ12" s="1" t="str">
        <f t="shared" si="12"/>
        <v>PAS DE DATE PAPIER</v>
      </c>
      <c r="AK12" s="1">
        <f t="shared" si="13"/>
        <v>12</v>
      </c>
      <c r="AL12" s="1">
        <f t="shared" si="14"/>
        <v>135</v>
      </c>
      <c r="AM12" s="1">
        <f t="shared" si="15"/>
        <v>121</v>
      </c>
      <c r="AN12" s="1">
        <f t="shared" si="16"/>
        <v>6</v>
      </c>
      <c r="AO12" s="1">
        <f t="shared" si="20"/>
        <v>2</v>
      </c>
      <c r="AP12" s="1">
        <f t="shared" si="18"/>
        <v>5</v>
      </c>
      <c r="AQ12" s="1">
        <f t="shared" si="0"/>
        <v>15</v>
      </c>
      <c r="AR12" s="1">
        <f t="shared" si="19"/>
        <v>0</v>
      </c>
    </row>
    <row r="13" spans="1:44" x14ac:dyDescent="0.3">
      <c r="A13" s="1">
        <v>25037</v>
      </c>
      <c r="B13" s="1" t="s">
        <v>20</v>
      </c>
      <c r="C13" s="3" t="s">
        <v>21</v>
      </c>
      <c r="D13" s="4">
        <v>2000</v>
      </c>
      <c r="E13" s="24">
        <f>_xlfn.XLOOKUP(A13,[1]PONCEBLANC!$Q:$Q,[1]PONCEBLANC!$J:$J,100,0)</f>
        <v>26920</v>
      </c>
      <c r="F13" s="2" t="s">
        <v>133</v>
      </c>
      <c r="G13" s="2">
        <v>45713</v>
      </c>
      <c r="H13" s="2">
        <v>45721</v>
      </c>
      <c r="I13" s="2">
        <v>45713</v>
      </c>
      <c r="J13" s="2">
        <v>45828</v>
      </c>
      <c r="K13" s="2">
        <v>45838</v>
      </c>
      <c r="L13" s="2">
        <v>45713</v>
      </c>
      <c r="M13" s="2">
        <v>45740</v>
      </c>
      <c r="N13" s="2">
        <v>45839</v>
      </c>
      <c r="O13" s="2">
        <v>45765</v>
      </c>
      <c r="P13" s="2">
        <v>45839</v>
      </c>
      <c r="Q13" s="2">
        <v>45848</v>
      </c>
      <c r="R13" s="2">
        <v>45898</v>
      </c>
      <c r="S13" s="2">
        <v>45898</v>
      </c>
      <c r="T13" s="2">
        <v>45940</v>
      </c>
      <c r="U13" s="1">
        <v>4</v>
      </c>
      <c r="V13" s="3" t="s">
        <v>319</v>
      </c>
      <c r="X13" s="1" t="s">
        <v>322</v>
      </c>
      <c r="Y13" s="1">
        <f t="shared" si="1"/>
        <v>163</v>
      </c>
      <c r="Z13" s="1">
        <f t="shared" si="2"/>
        <v>6</v>
      </c>
      <c r="AA13" s="1">
        <f t="shared" si="3"/>
        <v>157</v>
      </c>
      <c r="AB13" s="1">
        <f t="shared" si="4"/>
        <v>127</v>
      </c>
      <c r="AC13" s="1">
        <f t="shared" si="5"/>
        <v>0</v>
      </c>
      <c r="AD13" s="1">
        <f t="shared" si="6"/>
        <v>84</v>
      </c>
      <c r="AE13" s="1">
        <f t="shared" si="7"/>
        <v>-8</v>
      </c>
      <c r="AF13" s="1">
        <f t="shared" si="8"/>
        <v>83</v>
      </c>
      <c r="AG13" s="1">
        <f t="shared" si="9"/>
        <v>7</v>
      </c>
      <c r="AH13" s="1">
        <f t="shared" si="10"/>
        <v>91</v>
      </c>
      <c r="AI13" s="1">
        <f t="shared" si="11"/>
        <v>84</v>
      </c>
      <c r="AJ13" s="1">
        <f t="shared" si="12"/>
        <v>13</v>
      </c>
      <c r="AK13" s="1">
        <f t="shared" si="13"/>
        <v>32</v>
      </c>
      <c r="AL13" s="1">
        <f t="shared" si="14"/>
        <v>83</v>
      </c>
      <c r="AM13" s="1">
        <f t="shared" si="15"/>
        <v>-8</v>
      </c>
      <c r="AN13" s="1">
        <f t="shared" si="16"/>
        <v>1</v>
      </c>
      <c r="AO13" s="1">
        <f t="shared" si="20"/>
        <v>7</v>
      </c>
      <c r="AP13" s="1">
        <f t="shared" si="18"/>
        <v>7</v>
      </c>
      <c r="AQ13" s="1">
        <f t="shared" si="0"/>
        <v>36</v>
      </c>
      <c r="AR13" s="1">
        <f t="shared" si="19"/>
        <v>30</v>
      </c>
    </row>
    <row r="14" spans="1:44" x14ac:dyDescent="0.3">
      <c r="A14" s="1">
        <v>25040</v>
      </c>
      <c r="B14" s="1" t="s">
        <v>17</v>
      </c>
      <c r="C14" s="3" t="s">
        <v>138</v>
      </c>
      <c r="D14" s="4" t="s">
        <v>22</v>
      </c>
      <c r="E14" s="24">
        <f>_xlfn.XLOOKUP(A14,[1]PONCEBLANC!$Q:$Q,[1]PONCEBLANC!$J:$J,100,0)</f>
        <v>18700</v>
      </c>
      <c r="F14" s="2" t="s">
        <v>133</v>
      </c>
      <c r="G14" s="2">
        <v>45702</v>
      </c>
      <c r="H14" s="2">
        <v>45726</v>
      </c>
      <c r="I14" s="2">
        <v>45792</v>
      </c>
      <c r="J14" s="2">
        <v>45855</v>
      </c>
      <c r="K14" s="2">
        <v>45775</v>
      </c>
      <c r="L14" s="2">
        <v>45792</v>
      </c>
      <c r="M14" s="2">
        <v>45749</v>
      </c>
      <c r="N14" s="2">
        <v>45792</v>
      </c>
      <c r="O14" s="2">
        <v>45754</v>
      </c>
      <c r="P14" s="2">
        <v>45855</v>
      </c>
      <c r="Q14" s="2">
        <v>45792</v>
      </c>
      <c r="R14" s="2">
        <v>45982</v>
      </c>
      <c r="S14" s="2">
        <v>45968</v>
      </c>
      <c r="T14" s="2">
        <v>45975</v>
      </c>
      <c r="U14" s="1">
        <v>2</v>
      </c>
      <c r="V14" s="3" t="s">
        <v>320</v>
      </c>
      <c r="X14" s="1" t="s">
        <v>324</v>
      </c>
      <c r="Y14" s="1">
        <f t="shared" si="1"/>
        <v>195</v>
      </c>
      <c r="Z14" s="1">
        <f t="shared" si="2"/>
        <v>16</v>
      </c>
      <c r="AA14" s="1">
        <f t="shared" si="3"/>
        <v>179</v>
      </c>
      <c r="AB14" s="1">
        <f t="shared" si="4"/>
        <v>174</v>
      </c>
      <c r="AC14" s="1">
        <f t="shared" si="5"/>
        <v>-12</v>
      </c>
      <c r="AD14" s="1">
        <f t="shared" si="6"/>
        <v>93</v>
      </c>
      <c r="AE14" s="1">
        <f>IFERROR(IF($T14="","NON LIVRE",IF($I14="","PAS DE COMMANDE MATIERE",NETWORKDAYS($H14,$I14)-1)),$I14)</f>
        <v>48</v>
      </c>
      <c r="AF14" s="1">
        <f t="shared" si="8"/>
        <v>45</v>
      </c>
      <c r="AG14" s="1">
        <f t="shared" si="9"/>
        <v>0</v>
      </c>
      <c r="AH14" s="1">
        <f t="shared" si="10"/>
        <v>48</v>
      </c>
      <c r="AI14" s="1">
        <f t="shared" si="11"/>
        <v>48</v>
      </c>
      <c r="AJ14" s="1">
        <f t="shared" si="12"/>
        <v>17</v>
      </c>
      <c r="AK14" s="1">
        <f t="shared" si="13"/>
        <v>20</v>
      </c>
      <c r="AL14" s="1">
        <f t="shared" si="14"/>
        <v>35</v>
      </c>
      <c r="AM14" s="1">
        <f t="shared" si="15"/>
        <v>48</v>
      </c>
      <c r="AN14" s="1">
        <f t="shared" si="16"/>
        <v>0</v>
      </c>
      <c r="AO14" s="1">
        <f t="shared" si="20"/>
        <v>0</v>
      </c>
      <c r="AP14" s="1">
        <f t="shared" si="18"/>
        <v>45</v>
      </c>
      <c r="AQ14" s="1">
        <f t="shared" si="0"/>
        <v>81</v>
      </c>
      <c r="AR14" s="1">
        <f t="shared" si="19"/>
        <v>5</v>
      </c>
    </row>
    <row r="15" spans="1:44" x14ac:dyDescent="0.3">
      <c r="A15" s="1">
        <v>25040</v>
      </c>
      <c r="B15" s="1" t="s">
        <v>17</v>
      </c>
      <c r="C15" s="3" t="s">
        <v>139</v>
      </c>
      <c r="D15" s="4" t="s">
        <v>23</v>
      </c>
      <c r="E15" s="24">
        <f>_xlfn.XLOOKUP(A15,[1]PONCEBLANC!$Q:$Q,[1]PONCEBLANC!$J:$J,100,0)</f>
        <v>18700</v>
      </c>
      <c r="F15" s="2" t="s">
        <v>133</v>
      </c>
      <c r="G15" s="2">
        <v>45702</v>
      </c>
      <c r="H15" s="2">
        <v>45726</v>
      </c>
      <c r="I15" s="2">
        <v>45792</v>
      </c>
      <c r="J15" s="2">
        <v>45855</v>
      </c>
      <c r="K15" s="2">
        <v>45775</v>
      </c>
      <c r="L15" s="2">
        <v>45792</v>
      </c>
      <c r="M15" s="2">
        <v>45840</v>
      </c>
      <c r="N15" s="2">
        <v>45792</v>
      </c>
      <c r="O15" s="2">
        <v>45754</v>
      </c>
      <c r="P15" s="2">
        <v>45855</v>
      </c>
      <c r="Q15" s="2">
        <v>45792</v>
      </c>
      <c r="R15" s="2">
        <v>45856</v>
      </c>
      <c r="S15" s="2">
        <v>45856</v>
      </c>
      <c r="T15" s="2">
        <v>45996</v>
      </c>
      <c r="U15" s="1">
        <v>6</v>
      </c>
      <c r="V15" s="3" t="s">
        <v>320</v>
      </c>
      <c r="X15" s="1" t="s">
        <v>324</v>
      </c>
      <c r="Y15" s="1">
        <f t="shared" si="1"/>
        <v>210</v>
      </c>
      <c r="Z15" s="1">
        <f t="shared" si="2"/>
        <v>16</v>
      </c>
      <c r="AA15" s="1">
        <f t="shared" si="3"/>
        <v>194</v>
      </c>
      <c r="AB15" s="1">
        <f t="shared" si="4"/>
        <v>94</v>
      </c>
      <c r="AC15" s="1">
        <f t="shared" si="5"/>
        <v>0</v>
      </c>
      <c r="AD15" s="1">
        <f t="shared" si="6"/>
        <v>93</v>
      </c>
      <c r="AE15" s="1">
        <f t="shared" si="7"/>
        <v>48</v>
      </c>
      <c r="AF15" s="1">
        <f t="shared" si="8"/>
        <v>45</v>
      </c>
      <c r="AG15" s="1">
        <f t="shared" si="9"/>
        <v>0</v>
      </c>
      <c r="AH15" s="1">
        <f t="shared" si="10"/>
        <v>48</v>
      </c>
      <c r="AI15" s="1">
        <f t="shared" si="11"/>
        <v>48</v>
      </c>
      <c r="AJ15" s="1">
        <f t="shared" si="12"/>
        <v>82</v>
      </c>
      <c r="AK15" s="1">
        <f t="shared" si="13"/>
        <v>20</v>
      </c>
      <c r="AL15" s="1">
        <f t="shared" si="14"/>
        <v>35</v>
      </c>
      <c r="AM15" s="1">
        <f t="shared" si="15"/>
        <v>48</v>
      </c>
      <c r="AN15" s="1">
        <f t="shared" si="16"/>
        <v>0</v>
      </c>
      <c r="AO15" s="1">
        <f t="shared" si="20"/>
        <v>0</v>
      </c>
      <c r="AP15" s="1">
        <f t="shared" si="18"/>
        <v>45</v>
      </c>
      <c r="AQ15" s="1">
        <f t="shared" si="0"/>
        <v>1</v>
      </c>
      <c r="AR15" s="1">
        <f t="shared" si="19"/>
        <v>100</v>
      </c>
    </row>
    <row r="16" spans="1:44" x14ac:dyDescent="0.3">
      <c r="A16" s="1">
        <v>25045</v>
      </c>
      <c r="B16" s="1" t="s">
        <v>24</v>
      </c>
      <c r="C16" s="3" t="s">
        <v>25</v>
      </c>
      <c r="D16" s="4">
        <v>1000</v>
      </c>
      <c r="E16" s="24">
        <f>_xlfn.XLOOKUP(A16,[1]PONCEBLANC!$Q:$Q,[1]PONCEBLANC!$J:$J,100,0)</f>
        <v>7070</v>
      </c>
      <c r="F16" s="2" t="s">
        <v>136</v>
      </c>
      <c r="G16" s="2">
        <v>45590</v>
      </c>
      <c r="H16" s="2">
        <v>45729</v>
      </c>
      <c r="I16" s="2">
        <v>45775</v>
      </c>
      <c r="K16" s="2">
        <v>45796</v>
      </c>
      <c r="O16" s="2">
        <v>45754</v>
      </c>
      <c r="X16" s="1" t="s">
        <v>325</v>
      </c>
      <c r="Y16" s="1" t="str">
        <f t="shared" si="1"/>
        <v>DATE MANQUANTE</v>
      </c>
      <c r="Z16" s="1">
        <f t="shared" si="2"/>
        <v>99</v>
      </c>
      <c r="AA16" s="1" t="str">
        <f t="shared" si="3"/>
        <v>NON LIVRE</v>
      </c>
      <c r="AB16" s="1" t="str">
        <f t="shared" si="4"/>
        <v>NON LIVRE</v>
      </c>
      <c r="AC16" s="1" t="str">
        <f t="shared" si="5"/>
        <v>NON LIVRE</v>
      </c>
      <c r="AD16" s="1" t="str">
        <f t="shared" si="6"/>
        <v>NON LIVRE</v>
      </c>
      <c r="AE16" s="1" t="str">
        <f t="shared" si="7"/>
        <v>NON LIVRE</v>
      </c>
      <c r="AF16" s="1" t="str">
        <f t="shared" si="8"/>
        <v>NON LIVRE</v>
      </c>
      <c r="AG16" s="1" t="str">
        <f t="shared" si="9"/>
        <v>NON LIVRE</v>
      </c>
      <c r="AH16" s="1" t="str">
        <f t="shared" si="10"/>
        <v>NON LIVRE</v>
      </c>
      <c r="AI16" s="1" t="str">
        <f t="shared" si="11"/>
        <v>NON LIVRE</v>
      </c>
      <c r="AJ16" s="1" t="str">
        <f t="shared" si="12"/>
        <v>NON LIVRE</v>
      </c>
      <c r="AK16" s="1" t="str">
        <f t="shared" si="13"/>
        <v>NON LIVRE</v>
      </c>
      <c r="AL16" s="1" t="str">
        <f t="shared" si="14"/>
        <v>NON LIVRE</v>
      </c>
      <c r="AM16" s="1" t="str">
        <f t="shared" si="15"/>
        <v>NON LIVRE</v>
      </c>
      <c r="AN16" s="1" t="str">
        <f t="shared" si="16"/>
        <v>NON LIVRE</v>
      </c>
      <c r="AO16" s="1" t="str">
        <f t="shared" si="20"/>
        <v>NON LIVRE</v>
      </c>
      <c r="AP16" s="1" t="str">
        <f t="shared" si="18"/>
        <v>NON LIVRE</v>
      </c>
      <c r="AQ16" s="1" t="str">
        <f t="shared" si="0"/>
        <v>NON LIVRE</v>
      </c>
      <c r="AR16" s="1" t="str">
        <f t="shared" si="19"/>
        <v>NON LIVRE</v>
      </c>
    </row>
    <row r="17" spans="1:44" x14ac:dyDescent="0.3">
      <c r="A17" s="1">
        <v>25056</v>
      </c>
      <c r="B17" s="1" t="s">
        <v>17</v>
      </c>
      <c r="C17" s="3" t="s">
        <v>370</v>
      </c>
      <c r="D17" s="4">
        <v>5000</v>
      </c>
      <c r="E17" s="24">
        <f>_xlfn.XLOOKUP(A17,[1]PONCEBLANC!$Q:$Q,[1]PONCEBLANC!$J:$J,100,0)</f>
        <v>56150</v>
      </c>
      <c r="G17" s="2">
        <v>45729</v>
      </c>
      <c r="H17" s="2">
        <v>45747</v>
      </c>
      <c r="I17" s="2">
        <v>45747</v>
      </c>
      <c r="J17" s="2">
        <v>45797</v>
      </c>
      <c r="K17" s="2">
        <v>45757</v>
      </c>
      <c r="L17" s="2">
        <v>45764</v>
      </c>
      <c r="M17" s="2">
        <v>45765</v>
      </c>
      <c r="N17" s="2">
        <v>45776</v>
      </c>
      <c r="O17" s="2">
        <v>45783</v>
      </c>
      <c r="P17" s="2">
        <v>45797</v>
      </c>
      <c r="Q17" s="2">
        <v>45793</v>
      </c>
      <c r="R17" s="2">
        <v>45821</v>
      </c>
      <c r="S17" s="2">
        <v>45821</v>
      </c>
      <c r="T17" s="2">
        <v>45989</v>
      </c>
      <c r="U17" s="1">
        <v>5</v>
      </c>
      <c r="Y17" s="1">
        <f t="shared" si="1"/>
        <v>186</v>
      </c>
      <c r="Z17" s="1">
        <f t="shared" si="2"/>
        <v>12</v>
      </c>
      <c r="AA17" s="1">
        <f t="shared" si="3"/>
        <v>174</v>
      </c>
      <c r="AB17" s="1">
        <f t="shared" si="4"/>
        <v>54</v>
      </c>
      <c r="AC17" s="1">
        <f t="shared" si="5"/>
        <v>0</v>
      </c>
      <c r="AD17" s="1">
        <f t="shared" si="6"/>
        <v>36</v>
      </c>
      <c r="AE17" s="1">
        <f t="shared" si="7"/>
        <v>0</v>
      </c>
      <c r="AF17" s="1">
        <f t="shared" si="8"/>
        <v>36</v>
      </c>
      <c r="AG17" s="1">
        <f t="shared" si="9"/>
        <v>0</v>
      </c>
      <c r="AH17" s="1">
        <f t="shared" si="10"/>
        <v>34</v>
      </c>
      <c r="AI17" s="1">
        <f t="shared" si="11"/>
        <v>21</v>
      </c>
      <c r="AJ17" s="1">
        <f t="shared" si="12"/>
        <v>14</v>
      </c>
      <c r="AK17" s="1">
        <f t="shared" si="13"/>
        <v>26</v>
      </c>
      <c r="AL17" s="1">
        <f t="shared" si="14"/>
        <v>8</v>
      </c>
      <c r="AM17" s="1">
        <f t="shared" si="15"/>
        <v>13</v>
      </c>
      <c r="AN17" s="1">
        <f t="shared" si="16"/>
        <v>8</v>
      </c>
      <c r="AO17" s="1">
        <f t="shared" si="20"/>
        <v>13</v>
      </c>
      <c r="AP17" s="1">
        <f t="shared" si="18"/>
        <v>2</v>
      </c>
      <c r="AQ17" s="1">
        <f>IFERROR(IF($T17="","NON LIVRE",IF(MAX($P17,$Q17)=0,"PAS D'EXPEDITION DE MATIERE, D'IMPRESSION, OU D'ACHAT",NETWORKDAYS(MAX($P17,$Q17),$S17)-1)),"PAS D'EXPEDITION DE MATIERE, D'IMPRESSION, OU D'ACHAT")</f>
        <v>18</v>
      </c>
      <c r="AR17" s="1">
        <f t="shared" si="19"/>
        <v>120</v>
      </c>
    </row>
    <row r="18" spans="1:44" x14ac:dyDescent="0.3">
      <c r="A18" s="1">
        <v>25063</v>
      </c>
      <c r="B18" s="1" t="s">
        <v>17</v>
      </c>
      <c r="C18" s="3" t="s">
        <v>26</v>
      </c>
      <c r="D18" s="4">
        <v>1870</v>
      </c>
      <c r="E18" s="24">
        <f>_xlfn.XLOOKUP(A18,[1]PONCEBLANC!$Q:$Q,[1]PONCEBLANC!$J:$J,100,0)</f>
        <v>24600</v>
      </c>
      <c r="F18" s="2" t="s">
        <v>140</v>
      </c>
      <c r="G18" s="2">
        <v>45713</v>
      </c>
      <c r="H18" s="2">
        <v>45754</v>
      </c>
      <c r="I18" s="2">
        <v>45783</v>
      </c>
      <c r="J18" s="2">
        <v>45834</v>
      </c>
      <c r="K18" s="2">
        <v>45863</v>
      </c>
      <c r="L18" s="2">
        <v>45903</v>
      </c>
      <c r="N18" s="2">
        <v>45910</v>
      </c>
      <c r="O18" s="2">
        <v>45783</v>
      </c>
      <c r="P18" s="2">
        <v>45918</v>
      </c>
      <c r="Q18" s="2">
        <v>45919</v>
      </c>
      <c r="R18" s="2">
        <v>45947</v>
      </c>
      <c r="S18" s="2">
        <v>45954</v>
      </c>
      <c r="T18" s="2">
        <v>45989</v>
      </c>
      <c r="U18" s="1">
        <v>1</v>
      </c>
      <c r="V18" s="3" t="s">
        <v>319</v>
      </c>
      <c r="X18" s="1" t="s">
        <v>326</v>
      </c>
      <c r="Y18" s="1">
        <f t="shared" si="1"/>
        <v>198</v>
      </c>
      <c r="Z18" s="1">
        <f t="shared" si="2"/>
        <v>29</v>
      </c>
      <c r="AA18" s="1">
        <f t="shared" si="3"/>
        <v>169</v>
      </c>
      <c r="AB18" s="1">
        <f t="shared" si="4"/>
        <v>144</v>
      </c>
      <c r="AC18" s="1">
        <f t="shared" si="5"/>
        <v>5</v>
      </c>
      <c r="AD18" s="1">
        <f t="shared" si="6"/>
        <v>118</v>
      </c>
      <c r="AE18" s="1">
        <f t="shared" si="7"/>
        <v>21</v>
      </c>
      <c r="AF18" s="1">
        <f t="shared" si="8"/>
        <v>37</v>
      </c>
      <c r="AG18" s="1">
        <f t="shared" si="9"/>
        <v>60</v>
      </c>
      <c r="AH18" s="1">
        <f t="shared" si="10"/>
        <v>119</v>
      </c>
      <c r="AI18" s="1">
        <f t="shared" si="11"/>
        <v>112</v>
      </c>
      <c r="AJ18" s="1" t="str">
        <f t="shared" si="12"/>
        <v>PAS DE DATE PAPIER</v>
      </c>
      <c r="AK18" s="1">
        <f t="shared" si="13"/>
        <v>21</v>
      </c>
      <c r="AL18" s="1">
        <f t="shared" si="14"/>
        <v>79</v>
      </c>
      <c r="AM18" s="1">
        <f t="shared" si="15"/>
        <v>107</v>
      </c>
      <c r="AN18" s="1">
        <f t="shared" si="16"/>
        <v>5</v>
      </c>
      <c r="AO18" s="1">
        <f t="shared" si="20"/>
        <v>7</v>
      </c>
      <c r="AP18" s="1">
        <f t="shared" si="18"/>
        <v>1</v>
      </c>
      <c r="AQ18" s="1">
        <f t="shared" si="0"/>
        <v>25</v>
      </c>
      <c r="AR18" s="1">
        <f t="shared" si="19"/>
        <v>25</v>
      </c>
    </row>
    <row r="19" spans="1:44" x14ac:dyDescent="0.3">
      <c r="A19" s="1">
        <v>25066</v>
      </c>
      <c r="B19" s="1" t="s">
        <v>27</v>
      </c>
      <c r="C19" s="3" t="s">
        <v>28</v>
      </c>
      <c r="D19" s="4">
        <v>7000</v>
      </c>
      <c r="E19" s="24">
        <f>_xlfn.XLOOKUP(A19,[1]PONCEBLANC!$Q:$Q,[1]PONCEBLANC!$J:$J,100,0)</f>
        <v>38700</v>
      </c>
      <c r="F19" s="2" t="s">
        <v>137</v>
      </c>
      <c r="G19" s="2">
        <v>45426</v>
      </c>
      <c r="H19" s="2">
        <v>45756</v>
      </c>
      <c r="I19" s="2">
        <v>45756</v>
      </c>
      <c r="J19" s="2">
        <v>45819</v>
      </c>
      <c r="K19" s="2">
        <v>45818</v>
      </c>
      <c r="L19" s="2">
        <v>45831</v>
      </c>
      <c r="N19" s="2">
        <v>45832</v>
      </c>
      <c r="P19" s="2">
        <v>45821</v>
      </c>
      <c r="Q19" s="2">
        <v>45834</v>
      </c>
      <c r="R19" s="2">
        <v>45849</v>
      </c>
      <c r="S19" s="2">
        <v>45849</v>
      </c>
      <c r="T19" s="2">
        <v>45933</v>
      </c>
      <c r="U19" s="1">
        <v>6</v>
      </c>
      <c r="V19" s="3" t="s">
        <v>327</v>
      </c>
      <c r="Y19" s="1">
        <f t="shared" si="1"/>
        <v>363</v>
      </c>
      <c r="Z19" s="1">
        <f t="shared" si="2"/>
        <v>236</v>
      </c>
      <c r="AA19" s="1">
        <f t="shared" si="3"/>
        <v>127</v>
      </c>
      <c r="AB19" s="1">
        <f t="shared" si="4"/>
        <v>67</v>
      </c>
      <c r="AC19" s="1">
        <f t="shared" si="5"/>
        <v>0</v>
      </c>
      <c r="AD19" s="1">
        <f t="shared" si="6"/>
        <v>47</v>
      </c>
      <c r="AE19" s="1">
        <f t="shared" si="7"/>
        <v>0</v>
      </c>
      <c r="AF19" s="1">
        <f t="shared" si="8"/>
        <v>45</v>
      </c>
      <c r="AG19" s="1">
        <f t="shared" si="9"/>
        <v>2</v>
      </c>
      <c r="AH19" s="1">
        <f t="shared" si="10"/>
        <v>56</v>
      </c>
      <c r="AI19" s="1">
        <f t="shared" si="11"/>
        <v>54</v>
      </c>
      <c r="AJ19" s="1" t="str">
        <f t="shared" si="12"/>
        <v>PAS DE DATE PAPIER</v>
      </c>
      <c r="AK19" s="1" t="str">
        <f t="shared" si="13"/>
        <v>PAS DE DATE CARTON</v>
      </c>
      <c r="AL19" s="1">
        <f t="shared" si="14"/>
        <v>44</v>
      </c>
      <c r="AM19" s="1">
        <f t="shared" si="15"/>
        <v>53</v>
      </c>
      <c r="AN19" s="1">
        <f t="shared" si="16"/>
        <v>1</v>
      </c>
      <c r="AO19" s="1">
        <f t="shared" si="20"/>
        <v>2</v>
      </c>
      <c r="AP19" s="1">
        <f t="shared" si="18"/>
        <v>9</v>
      </c>
      <c r="AQ19" s="1">
        <f t="shared" si="0"/>
        <v>11</v>
      </c>
      <c r="AR19" s="1">
        <f t="shared" si="19"/>
        <v>60</v>
      </c>
    </row>
    <row r="20" spans="1:44" x14ac:dyDescent="0.3">
      <c r="A20" s="1">
        <v>25072</v>
      </c>
      <c r="B20" s="1" t="s">
        <v>17</v>
      </c>
      <c r="C20" s="3" t="s">
        <v>141</v>
      </c>
      <c r="D20" s="4">
        <v>12300</v>
      </c>
      <c r="E20" s="24">
        <f>_xlfn.XLOOKUP(A20,[1]PONCEBLANC!$Q:$Q,[1]PONCEBLANC!$J:$J,100,0)</f>
        <v>438899.99999999994</v>
      </c>
      <c r="F20" s="2" t="s">
        <v>133</v>
      </c>
      <c r="G20" s="2">
        <v>45643</v>
      </c>
      <c r="H20" s="2">
        <v>45761</v>
      </c>
      <c r="I20" s="2">
        <v>45776</v>
      </c>
      <c r="J20" s="2">
        <v>45979</v>
      </c>
      <c r="K20" s="2">
        <v>45903</v>
      </c>
      <c r="L20" s="2">
        <v>45853</v>
      </c>
      <c r="M20" s="2">
        <v>45853</v>
      </c>
      <c r="N20" s="2">
        <v>45870</v>
      </c>
      <c r="O20" s="2">
        <v>45813</v>
      </c>
      <c r="P20" s="2">
        <v>45982</v>
      </c>
      <c r="Q20" s="2">
        <v>45988</v>
      </c>
      <c r="R20" s="2">
        <v>45947</v>
      </c>
      <c r="S20" s="2">
        <v>45954</v>
      </c>
      <c r="T20" s="2">
        <v>46038</v>
      </c>
      <c r="U20" s="1">
        <v>8</v>
      </c>
      <c r="V20" s="3" t="s">
        <v>328</v>
      </c>
      <c r="Y20" s="1">
        <f t="shared" si="1"/>
        <v>283</v>
      </c>
      <c r="Z20" s="1">
        <f t="shared" si="2"/>
        <v>84</v>
      </c>
      <c r="AA20" s="1">
        <f t="shared" si="3"/>
        <v>199</v>
      </c>
      <c r="AB20" s="1">
        <f t="shared" si="4"/>
        <v>139</v>
      </c>
      <c r="AC20" s="1">
        <f t="shared" si="5"/>
        <v>5</v>
      </c>
      <c r="AD20" s="1">
        <f t="shared" si="6"/>
        <v>159</v>
      </c>
      <c r="AE20" s="1">
        <f t="shared" si="7"/>
        <v>11</v>
      </c>
      <c r="AF20" s="1">
        <f t="shared" si="8"/>
        <v>145</v>
      </c>
      <c r="AG20" s="1">
        <f t="shared" si="9"/>
        <v>3</v>
      </c>
      <c r="AH20" s="1">
        <f t="shared" si="10"/>
        <v>163</v>
      </c>
      <c r="AI20" s="1">
        <f t="shared" si="11"/>
        <v>79</v>
      </c>
      <c r="AJ20" s="1">
        <f t="shared" si="12"/>
        <v>66</v>
      </c>
      <c r="AK20" s="1">
        <f t="shared" si="13"/>
        <v>38</v>
      </c>
      <c r="AL20" s="1">
        <f t="shared" si="14"/>
        <v>102</v>
      </c>
      <c r="AM20" s="1">
        <f t="shared" si="15"/>
        <v>66</v>
      </c>
      <c r="AN20" s="1">
        <f t="shared" si="16"/>
        <v>-25</v>
      </c>
      <c r="AO20" s="1">
        <f t="shared" si="20"/>
        <v>84</v>
      </c>
      <c r="AP20" s="1">
        <f t="shared" si="18"/>
        <v>4</v>
      </c>
      <c r="AQ20" s="1">
        <f t="shared" si="0"/>
        <v>-26</v>
      </c>
      <c r="AR20" s="1">
        <f t="shared" si="19"/>
        <v>60</v>
      </c>
    </row>
    <row r="21" spans="1:44" x14ac:dyDescent="0.3">
      <c r="A21" s="1">
        <v>25072</v>
      </c>
      <c r="B21" s="1" t="s">
        <v>17</v>
      </c>
      <c r="C21" s="3" t="s">
        <v>142</v>
      </c>
      <c r="D21" s="4">
        <v>5200</v>
      </c>
      <c r="E21" s="24">
        <f>_xlfn.XLOOKUP(A21,[1]PONCEBLANC!$Q:$Q,[1]PONCEBLANC!$J:$J,100,0)</f>
        <v>438899.99999999994</v>
      </c>
      <c r="F21" s="2" t="s">
        <v>133</v>
      </c>
      <c r="G21" s="2">
        <v>45643</v>
      </c>
      <c r="H21" s="2">
        <v>45761</v>
      </c>
      <c r="I21" s="2">
        <v>45776</v>
      </c>
      <c r="J21" s="2">
        <v>45905</v>
      </c>
      <c r="K21" s="2">
        <v>45859</v>
      </c>
      <c r="L21" s="2">
        <v>45853</v>
      </c>
      <c r="M21" s="2">
        <v>45820</v>
      </c>
      <c r="N21" s="2">
        <v>45870</v>
      </c>
      <c r="O21" s="2">
        <v>45813</v>
      </c>
      <c r="P21" s="2">
        <v>45889</v>
      </c>
      <c r="Q21" s="2">
        <v>45904</v>
      </c>
      <c r="R21" s="2">
        <v>45947</v>
      </c>
      <c r="S21" s="2">
        <v>45947</v>
      </c>
      <c r="T21" s="2">
        <v>45996</v>
      </c>
      <c r="U21" s="1">
        <v>5</v>
      </c>
      <c r="Y21" s="1">
        <f t="shared" si="1"/>
        <v>253</v>
      </c>
      <c r="Z21" s="1">
        <f t="shared" si="2"/>
        <v>84</v>
      </c>
      <c r="AA21" s="1">
        <f t="shared" si="3"/>
        <v>169</v>
      </c>
      <c r="AB21" s="1">
        <f t="shared" si="4"/>
        <v>134</v>
      </c>
      <c r="AC21" s="1">
        <f t="shared" si="5"/>
        <v>0</v>
      </c>
      <c r="AD21" s="1">
        <f t="shared" si="6"/>
        <v>92</v>
      </c>
      <c r="AE21" s="1">
        <f t="shared" si="7"/>
        <v>11</v>
      </c>
      <c r="AF21" s="1">
        <f t="shared" si="8"/>
        <v>93</v>
      </c>
      <c r="AG21" s="1">
        <f t="shared" si="9"/>
        <v>-14</v>
      </c>
      <c r="AH21" s="1">
        <f t="shared" si="10"/>
        <v>103</v>
      </c>
      <c r="AI21" s="1">
        <f t="shared" si="11"/>
        <v>79</v>
      </c>
      <c r="AJ21" s="1">
        <f t="shared" si="12"/>
        <v>43</v>
      </c>
      <c r="AK21" s="1">
        <f t="shared" si="13"/>
        <v>38</v>
      </c>
      <c r="AL21" s="1">
        <f t="shared" si="14"/>
        <v>70</v>
      </c>
      <c r="AM21" s="1">
        <f t="shared" si="15"/>
        <v>66</v>
      </c>
      <c r="AN21" s="1">
        <f t="shared" si="16"/>
        <v>9</v>
      </c>
      <c r="AO21" s="1">
        <f t="shared" si="20"/>
        <v>24</v>
      </c>
      <c r="AP21" s="1">
        <f t="shared" si="18"/>
        <v>11</v>
      </c>
      <c r="AQ21" s="1">
        <f t="shared" si="0"/>
        <v>31</v>
      </c>
      <c r="AR21" s="1">
        <f t="shared" si="19"/>
        <v>35</v>
      </c>
    </row>
    <row r="22" spans="1:44" x14ac:dyDescent="0.3">
      <c r="A22" s="1">
        <v>25072</v>
      </c>
      <c r="B22" s="1" t="s">
        <v>17</v>
      </c>
      <c r="C22" s="3" t="s">
        <v>143</v>
      </c>
      <c r="D22" s="4">
        <v>3500</v>
      </c>
      <c r="E22" s="24">
        <f>_xlfn.XLOOKUP(A22,[1]PONCEBLANC!$Q:$Q,[1]PONCEBLANC!$J:$J,100,0)</f>
        <v>438899.99999999994</v>
      </c>
      <c r="F22" s="2" t="s">
        <v>133</v>
      </c>
      <c r="G22" s="2">
        <v>45643</v>
      </c>
      <c r="H22" s="2">
        <v>45761</v>
      </c>
      <c r="I22" s="2">
        <v>45776</v>
      </c>
      <c r="J22" s="2">
        <v>45905</v>
      </c>
      <c r="K22" s="2">
        <v>45859</v>
      </c>
      <c r="L22" s="2">
        <v>45853</v>
      </c>
      <c r="M22" s="2">
        <v>45820</v>
      </c>
      <c r="N22" s="2">
        <v>45870</v>
      </c>
      <c r="O22" s="2">
        <v>45813</v>
      </c>
      <c r="P22" s="2">
        <v>45889</v>
      </c>
      <c r="Q22" s="2">
        <v>45904</v>
      </c>
      <c r="R22" s="2">
        <v>45947</v>
      </c>
      <c r="S22" s="2">
        <v>45947</v>
      </c>
      <c r="T22" s="2">
        <v>45989</v>
      </c>
      <c r="U22" s="1">
        <v>2</v>
      </c>
      <c r="Y22" s="1">
        <f t="shared" si="1"/>
        <v>248</v>
      </c>
      <c r="Z22" s="1">
        <f t="shared" si="2"/>
        <v>84</v>
      </c>
      <c r="AA22" s="1">
        <f t="shared" si="3"/>
        <v>164</v>
      </c>
      <c r="AB22" s="1">
        <f t="shared" si="4"/>
        <v>134</v>
      </c>
      <c r="AC22" s="1">
        <f t="shared" si="5"/>
        <v>0</v>
      </c>
      <c r="AD22" s="1">
        <f t="shared" si="6"/>
        <v>92</v>
      </c>
      <c r="AE22" s="1">
        <f t="shared" si="7"/>
        <v>11</v>
      </c>
      <c r="AF22" s="1">
        <f t="shared" si="8"/>
        <v>93</v>
      </c>
      <c r="AG22" s="1">
        <f t="shared" si="9"/>
        <v>-14</v>
      </c>
      <c r="AH22" s="1">
        <f t="shared" si="10"/>
        <v>103</v>
      </c>
      <c r="AI22" s="1">
        <f t="shared" si="11"/>
        <v>79</v>
      </c>
      <c r="AJ22" s="1">
        <f t="shared" si="12"/>
        <v>43</v>
      </c>
      <c r="AK22" s="1">
        <f t="shared" si="13"/>
        <v>38</v>
      </c>
      <c r="AL22" s="1">
        <f t="shared" si="14"/>
        <v>70</v>
      </c>
      <c r="AM22" s="1">
        <f t="shared" si="15"/>
        <v>66</v>
      </c>
      <c r="AN22" s="1">
        <f t="shared" si="16"/>
        <v>9</v>
      </c>
      <c r="AO22" s="1">
        <f t="shared" si="20"/>
        <v>24</v>
      </c>
      <c r="AP22" s="1">
        <f t="shared" si="18"/>
        <v>11</v>
      </c>
      <c r="AQ22" s="1">
        <f t="shared" si="0"/>
        <v>31</v>
      </c>
      <c r="AR22" s="1">
        <f t="shared" si="19"/>
        <v>30</v>
      </c>
    </row>
    <row r="23" spans="1:44" x14ac:dyDescent="0.3">
      <c r="A23" s="1">
        <v>25073</v>
      </c>
      <c r="B23" s="1" t="s">
        <v>17</v>
      </c>
      <c r="C23" s="3" t="s">
        <v>144</v>
      </c>
      <c r="D23" s="4">
        <v>5000</v>
      </c>
      <c r="E23" s="24">
        <f>_xlfn.XLOOKUP(A23,[1]PONCEBLANC!$Q:$Q,[1]PONCEBLANC!$J:$J,100,0)</f>
        <v>152730</v>
      </c>
      <c r="F23" s="2" t="s">
        <v>133</v>
      </c>
      <c r="G23" s="2">
        <v>45643</v>
      </c>
      <c r="H23" s="2">
        <v>45761</v>
      </c>
      <c r="I23" s="2">
        <v>45782</v>
      </c>
      <c r="J23" s="2">
        <v>45959</v>
      </c>
      <c r="K23" s="2">
        <v>45911</v>
      </c>
      <c r="L23" s="2">
        <v>45862</v>
      </c>
      <c r="M23" s="2">
        <v>45813</v>
      </c>
      <c r="N23" s="2">
        <v>45918</v>
      </c>
      <c r="O23" s="2">
        <v>45813</v>
      </c>
      <c r="P23" s="2">
        <v>45930</v>
      </c>
      <c r="Q23" s="2">
        <v>45946</v>
      </c>
      <c r="R23" s="2">
        <v>45968</v>
      </c>
      <c r="S23" s="2">
        <v>45975</v>
      </c>
      <c r="T23" s="2">
        <v>46010</v>
      </c>
      <c r="U23" s="1">
        <v>5</v>
      </c>
      <c r="Y23" s="1">
        <f t="shared" si="1"/>
        <v>263</v>
      </c>
      <c r="Z23" s="1">
        <f t="shared" si="2"/>
        <v>84</v>
      </c>
      <c r="AA23" s="1">
        <f t="shared" si="3"/>
        <v>179</v>
      </c>
      <c r="AB23" s="1">
        <f t="shared" si="4"/>
        <v>154</v>
      </c>
      <c r="AC23" s="1">
        <f t="shared" si="5"/>
        <v>5</v>
      </c>
      <c r="AD23" s="1">
        <f t="shared" si="6"/>
        <v>121</v>
      </c>
      <c r="AE23" s="1">
        <f t="shared" si="7"/>
        <v>15</v>
      </c>
      <c r="AF23" s="1">
        <f t="shared" si="8"/>
        <v>127</v>
      </c>
      <c r="AG23" s="1">
        <f t="shared" si="9"/>
        <v>-23</v>
      </c>
      <c r="AH23" s="1">
        <f t="shared" si="10"/>
        <v>133</v>
      </c>
      <c r="AI23" s="1">
        <f t="shared" si="11"/>
        <v>113</v>
      </c>
      <c r="AJ23" s="1">
        <f t="shared" si="12"/>
        <v>38</v>
      </c>
      <c r="AK23" s="1">
        <f t="shared" si="13"/>
        <v>38</v>
      </c>
      <c r="AL23" s="1">
        <f t="shared" si="14"/>
        <v>108</v>
      </c>
      <c r="AM23" s="1">
        <f t="shared" si="15"/>
        <v>73</v>
      </c>
      <c r="AN23" s="1">
        <f t="shared" si="16"/>
        <v>5</v>
      </c>
      <c r="AO23" s="1">
        <f t="shared" si="20"/>
        <v>20</v>
      </c>
      <c r="AP23" s="1">
        <f t="shared" si="18"/>
        <v>12</v>
      </c>
      <c r="AQ23" s="1">
        <f t="shared" si="0"/>
        <v>21</v>
      </c>
      <c r="AR23" s="1">
        <f t="shared" si="19"/>
        <v>25</v>
      </c>
    </row>
    <row r="24" spans="1:44" x14ac:dyDescent="0.3">
      <c r="A24" s="1">
        <v>25073</v>
      </c>
      <c r="B24" s="1" t="s">
        <v>17</v>
      </c>
      <c r="C24" s="3" t="s">
        <v>145</v>
      </c>
      <c r="D24" s="4">
        <v>6000</v>
      </c>
      <c r="E24" s="24">
        <f>_xlfn.XLOOKUP(A24,[1]PONCEBLANC!$Q:$Q,[1]PONCEBLANC!$J:$J,100,0)</f>
        <v>152730</v>
      </c>
      <c r="F24" s="2" t="s">
        <v>133</v>
      </c>
      <c r="G24" s="2">
        <v>45643</v>
      </c>
      <c r="H24" s="2">
        <v>45761</v>
      </c>
      <c r="J24" s="2">
        <v>45959</v>
      </c>
      <c r="K24" s="2">
        <v>45911</v>
      </c>
      <c r="L24" s="2">
        <v>45862</v>
      </c>
      <c r="M24" s="2">
        <v>45813</v>
      </c>
      <c r="N24" s="2">
        <v>45918</v>
      </c>
      <c r="O24" s="2">
        <v>45813</v>
      </c>
      <c r="P24" s="2">
        <v>45930</v>
      </c>
      <c r="Q24" s="2">
        <v>45946</v>
      </c>
      <c r="R24" s="2">
        <v>45975</v>
      </c>
      <c r="S24" s="2">
        <v>45975</v>
      </c>
      <c r="T24" s="2">
        <v>46003</v>
      </c>
      <c r="U24" s="1">
        <v>4</v>
      </c>
      <c r="Y24" s="1">
        <f t="shared" si="1"/>
        <v>258</v>
      </c>
      <c r="Z24" s="1">
        <f t="shared" si="2"/>
        <v>84</v>
      </c>
      <c r="AA24" s="1">
        <f t="shared" si="3"/>
        <v>174</v>
      </c>
      <c r="AB24" s="1">
        <f t="shared" si="4"/>
        <v>154</v>
      </c>
      <c r="AC24" s="1">
        <f t="shared" si="5"/>
        <v>0</v>
      </c>
      <c r="AD24" s="1">
        <f t="shared" si="6"/>
        <v>121</v>
      </c>
      <c r="AE24" s="1" t="str">
        <f t="shared" si="7"/>
        <v>PAS DE COMMANDE MATIERE</v>
      </c>
      <c r="AF24" s="1">
        <f t="shared" si="8"/>
        <v>32827</v>
      </c>
      <c r="AG24" s="1">
        <f t="shared" si="9"/>
        <v>-23</v>
      </c>
      <c r="AH24" s="1">
        <f t="shared" si="10"/>
        <v>133</v>
      </c>
      <c r="AI24" s="1">
        <f t="shared" si="11"/>
        <v>113</v>
      </c>
      <c r="AJ24" s="1">
        <f t="shared" si="12"/>
        <v>38</v>
      </c>
      <c r="AK24" s="1">
        <f t="shared" si="13"/>
        <v>38</v>
      </c>
      <c r="AL24" s="1">
        <f t="shared" si="14"/>
        <v>108</v>
      </c>
      <c r="AM24" s="1">
        <f t="shared" si="15"/>
        <v>73</v>
      </c>
      <c r="AN24" s="1">
        <f t="shared" si="16"/>
        <v>5</v>
      </c>
      <c r="AO24" s="1">
        <f t="shared" si="20"/>
        <v>20</v>
      </c>
      <c r="AP24" s="1">
        <f t="shared" si="18"/>
        <v>12</v>
      </c>
      <c r="AQ24" s="1">
        <f t="shared" si="0"/>
        <v>21</v>
      </c>
      <c r="AR24" s="1">
        <f t="shared" si="19"/>
        <v>20</v>
      </c>
    </row>
    <row r="25" spans="1:44" x14ac:dyDescent="0.3">
      <c r="A25" s="1">
        <v>25075</v>
      </c>
      <c r="B25" s="1" t="s">
        <v>17</v>
      </c>
      <c r="C25" s="3" t="s">
        <v>29</v>
      </c>
      <c r="D25" s="4">
        <v>3000</v>
      </c>
      <c r="E25" s="24">
        <f>_xlfn.XLOOKUP(A25,[1]PONCEBLANC!$Q:$Q,[1]PONCEBLANC!$J:$J,100,0)</f>
        <v>28800</v>
      </c>
      <c r="F25" s="2" t="s">
        <v>140</v>
      </c>
      <c r="G25" s="2">
        <v>45713</v>
      </c>
      <c r="H25" s="2">
        <v>45763</v>
      </c>
      <c r="I25" s="2">
        <v>45783</v>
      </c>
      <c r="J25" s="2">
        <v>45887</v>
      </c>
      <c r="K25" s="2">
        <v>45862</v>
      </c>
      <c r="L25" s="2">
        <v>45874</v>
      </c>
      <c r="N25" s="2">
        <v>45874</v>
      </c>
      <c r="O25" s="2">
        <v>45841</v>
      </c>
      <c r="P25" s="2">
        <v>45898</v>
      </c>
      <c r="Q25" s="2">
        <v>45904</v>
      </c>
      <c r="R25" s="2">
        <v>45920</v>
      </c>
      <c r="S25" s="2">
        <v>45927</v>
      </c>
      <c r="T25" s="2">
        <v>45940</v>
      </c>
      <c r="U25" s="1">
        <v>3</v>
      </c>
      <c r="X25" s="1" t="s">
        <v>329</v>
      </c>
      <c r="Y25" s="1">
        <f t="shared" si="1"/>
        <v>163</v>
      </c>
      <c r="Z25" s="1">
        <f t="shared" si="2"/>
        <v>36</v>
      </c>
      <c r="AA25" s="1">
        <f t="shared" si="3"/>
        <v>127</v>
      </c>
      <c r="AB25" s="1">
        <f t="shared" si="4"/>
        <v>117</v>
      </c>
      <c r="AC25" s="1">
        <f t="shared" si="5"/>
        <v>4</v>
      </c>
      <c r="AD25" s="1">
        <f t="shared" si="6"/>
        <v>97</v>
      </c>
      <c r="AE25" s="1">
        <f t="shared" si="7"/>
        <v>14</v>
      </c>
      <c r="AF25" s="1">
        <f t="shared" si="8"/>
        <v>74</v>
      </c>
      <c r="AG25" s="1">
        <f t="shared" si="9"/>
        <v>9</v>
      </c>
      <c r="AH25" s="1">
        <f t="shared" si="10"/>
        <v>101</v>
      </c>
      <c r="AI25" s="1">
        <f t="shared" si="11"/>
        <v>79</v>
      </c>
      <c r="AJ25" s="1" t="str">
        <f t="shared" si="12"/>
        <v>PAS DE DATE PAPIER</v>
      </c>
      <c r="AK25" s="1">
        <f t="shared" si="13"/>
        <v>56</v>
      </c>
      <c r="AL25" s="1">
        <f t="shared" si="14"/>
        <v>71</v>
      </c>
      <c r="AM25" s="1">
        <f t="shared" si="15"/>
        <v>79</v>
      </c>
      <c r="AN25" s="1">
        <f t="shared" si="16"/>
        <v>0</v>
      </c>
      <c r="AO25" s="1">
        <f t="shared" si="20"/>
        <v>22</v>
      </c>
      <c r="AP25" s="1">
        <f t="shared" si="18"/>
        <v>4</v>
      </c>
      <c r="AQ25" s="1">
        <f t="shared" si="0"/>
        <v>16</v>
      </c>
      <c r="AR25" s="1">
        <f t="shared" si="19"/>
        <v>9</v>
      </c>
    </row>
    <row r="26" spans="1:44" x14ac:dyDescent="0.3">
      <c r="A26" s="1">
        <v>25086</v>
      </c>
      <c r="B26" s="1" t="s">
        <v>30</v>
      </c>
      <c r="C26" s="3" t="s">
        <v>31</v>
      </c>
      <c r="D26" s="4">
        <v>1300</v>
      </c>
      <c r="E26" s="24">
        <f>_xlfn.XLOOKUP(A26,[1]PONCEBLANC!$Q:$Q,[1]PONCEBLANC!$J:$J,100,0)</f>
        <v>32044.999999999996</v>
      </c>
      <c r="F26" s="2" t="s">
        <v>133</v>
      </c>
      <c r="G26" s="2">
        <v>45783</v>
      </c>
      <c r="H26" s="2">
        <v>45791</v>
      </c>
      <c r="I26" s="2">
        <v>45792</v>
      </c>
      <c r="J26" s="2">
        <v>45896</v>
      </c>
      <c r="K26" s="2">
        <v>45813</v>
      </c>
      <c r="L26" s="2">
        <v>45805</v>
      </c>
      <c r="M26" s="2">
        <v>45811</v>
      </c>
      <c r="N26" s="2">
        <v>45820</v>
      </c>
      <c r="O26" s="2">
        <v>45813</v>
      </c>
      <c r="P26" s="2">
        <v>45889</v>
      </c>
      <c r="Q26" s="2">
        <v>45854</v>
      </c>
      <c r="R26" s="2">
        <v>45919</v>
      </c>
      <c r="S26" s="2">
        <v>45919</v>
      </c>
      <c r="T26" s="2">
        <v>45919</v>
      </c>
      <c r="U26" s="1">
        <v>1</v>
      </c>
      <c r="Y26" s="1">
        <f t="shared" si="1"/>
        <v>98</v>
      </c>
      <c r="Z26" s="1">
        <f t="shared" si="2"/>
        <v>6</v>
      </c>
      <c r="AA26" s="1">
        <f t="shared" si="3"/>
        <v>92</v>
      </c>
      <c r="AB26" s="1">
        <f t="shared" si="4"/>
        <v>92</v>
      </c>
      <c r="AC26" s="1">
        <f t="shared" si="5"/>
        <v>0</v>
      </c>
      <c r="AD26" s="1">
        <f t="shared" si="6"/>
        <v>70</v>
      </c>
      <c r="AE26" s="1">
        <f t="shared" si="7"/>
        <v>1</v>
      </c>
      <c r="AF26" s="1">
        <f t="shared" si="8"/>
        <v>74</v>
      </c>
      <c r="AG26" s="1">
        <f t="shared" si="9"/>
        <v>-7</v>
      </c>
      <c r="AH26" s="1">
        <f t="shared" si="10"/>
        <v>45</v>
      </c>
      <c r="AI26" s="1">
        <f t="shared" si="11"/>
        <v>21</v>
      </c>
      <c r="AJ26" s="1">
        <f t="shared" si="12"/>
        <v>14</v>
      </c>
      <c r="AK26" s="1">
        <f t="shared" si="13"/>
        <v>16</v>
      </c>
      <c r="AL26" s="1">
        <f t="shared" si="14"/>
        <v>16</v>
      </c>
      <c r="AM26" s="1">
        <f t="shared" si="15"/>
        <v>10</v>
      </c>
      <c r="AN26" s="1">
        <f t="shared" si="16"/>
        <v>5</v>
      </c>
      <c r="AO26" s="1">
        <f t="shared" si="20"/>
        <v>24</v>
      </c>
      <c r="AP26" s="1">
        <f t="shared" si="18"/>
        <v>25</v>
      </c>
      <c r="AQ26" s="1">
        <f t="shared" si="0"/>
        <v>22</v>
      </c>
      <c r="AR26" s="1">
        <f t="shared" si="19"/>
        <v>0</v>
      </c>
    </row>
    <row r="27" spans="1:44" x14ac:dyDescent="0.3">
      <c r="A27" s="1">
        <v>25089</v>
      </c>
      <c r="B27" s="1" t="s">
        <v>32</v>
      </c>
      <c r="C27" s="3" t="s">
        <v>33</v>
      </c>
      <c r="D27" s="4">
        <v>1880</v>
      </c>
      <c r="E27" s="24">
        <f>_xlfn.XLOOKUP(A27,[1]PONCEBLANC!$Q:$Q,[1]PONCEBLANC!$J:$J,100,0)</f>
        <v>14363.2</v>
      </c>
      <c r="F27" s="2" t="s">
        <v>137</v>
      </c>
      <c r="G27" s="2">
        <v>45769</v>
      </c>
      <c r="H27" s="2">
        <v>45791</v>
      </c>
      <c r="I27" s="2">
        <v>45791</v>
      </c>
      <c r="J27" s="2">
        <v>45845</v>
      </c>
      <c r="K27" s="2">
        <v>45799</v>
      </c>
      <c r="L27" s="2">
        <v>45805</v>
      </c>
      <c r="N27" s="2">
        <v>45821</v>
      </c>
      <c r="O27" s="2">
        <v>45841</v>
      </c>
      <c r="P27" s="2">
        <v>45854</v>
      </c>
      <c r="Q27" s="2">
        <v>45821</v>
      </c>
      <c r="R27" s="2">
        <v>45919</v>
      </c>
      <c r="S27" s="2">
        <v>45919</v>
      </c>
      <c r="T27" s="2">
        <v>45919</v>
      </c>
      <c r="U27" s="1">
        <v>1</v>
      </c>
      <c r="V27" s="3" t="s">
        <v>330</v>
      </c>
      <c r="Y27" s="1">
        <f t="shared" si="1"/>
        <v>108</v>
      </c>
      <c r="Z27" s="1">
        <f t="shared" si="2"/>
        <v>16</v>
      </c>
      <c r="AA27" s="1">
        <f t="shared" si="3"/>
        <v>92</v>
      </c>
      <c r="AB27" s="1">
        <f t="shared" si="4"/>
        <v>92</v>
      </c>
      <c r="AC27" s="1">
        <f t="shared" si="5"/>
        <v>0</v>
      </c>
      <c r="AD27" s="1">
        <f t="shared" si="6"/>
        <v>45</v>
      </c>
      <c r="AE27" s="1">
        <f t="shared" si="7"/>
        <v>0</v>
      </c>
      <c r="AF27" s="1">
        <f t="shared" si="8"/>
        <v>38</v>
      </c>
      <c r="AG27" s="1">
        <f t="shared" si="9"/>
        <v>7</v>
      </c>
      <c r="AH27" s="1">
        <f t="shared" si="10"/>
        <v>22</v>
      </c>
      <c r="AI27" s="1">
        <f t="shared" si="11"/>
        <v>22</v>
      </c>
      <c r="AJ27" s="1" t="str">
        <f t="shared" si="12"/>
        <v>PAS DE DATE PAPIER</v>
      </c>
      <c r="AK27" s="1">
        <f t="shared" si="13"/>
        <v>36</v>
      </c>
      <c r="AL27" s="1">
        <f t="shared" si="14"/>
        <v>6</v>
      </c>
      <c r="AM27" s="1">
        <f t="shared" si="15"/>
        <v>10</v>
      </c>
      <c r="AN27" s="1">
        <f t="shared" si="16"/>
        <v>12</v>
      </c>
      <c r="AO27" s="1">
        <f t="shared" si="20"/>
        <v>0</v>
      </c>
      <c r="AP27" s="1">
        <f t="shared" si="18"/>
        <v>23</v>
      </c>
      <c r="AQ27" s="1">
        <f t="shared" si="0"/>
        <v>47</v>
      </c>
      <c r="AR27" s="1">
        <f t="shared" si="19"/>
        <v>0</v>
      </c>
    </row>
    <row r="28" spans="1:44" x14ac:dyDescent="0.3">
      <c r="A28" s="1">
        <v>25091</v>
      </c>
      <c r="B28" s="1" t="s">
        <v>34</v>
      </c>
      <c r="C28" s="3" t="s">
        <v>146</v>
      </c>
      <c r="D28" s="4">
        <v>2000</v>
      </c>
      <c r="E28" s="24">
        <f>_xlfn.XLOOKUP(A28,[1]PONCEBLANC!$Q:$Q,[1]PONCEBLANC!$J:$J,100,0)</f>
        <v>28680</v>
      </c>
      <c r="F28" s="2" t="s">
        <v>136</v>
      </c>
      <c r="G28" s="2">
        <v>45722</v>
      </c>
      <c r="H28" s="2">
        <v>45796</v>
      </c>
      <c r="I28" s="2">
        <v>45926</v>
      </c>
      <c r="J28" s="2">
        <v>45999</v>
      </c>
      <c r="K28" s="2">
        <v>45959</v>
      </c>
      <c r="L28" s="2">
        <v>45978</v>
      </c>
      <c r="N28" s="2">
        <v>45967</v>
      </c>
      <c r="O28" s="2">
        <v>45937</v>
      </c>
      <c r="P28" s="2">
        <v>46003</v>
      </c>
      <c r="Q28" s="2">
        <v>45981</v>
      </c>
      <c r="R28" s="2">
        <v>46010</v>
      </c>
      <c r="S28" s="2">
        <v>46010</v>
      </c>
      <c r="T28" s="2">
        <v>46017</v>
      </c>
      <c r="U28" s="1">
        <v>2</v>
      </c>
      <c r="V28" s="3" t="s">
        <v>320</v>
      </c>
      <c r="Y28" s="1">
        <f t="shared" si="1"/>
        <v>211</v>
      </c>
      <c r="Z28" s="1">
        <f t="shared" si="2"/>
        <v>52</v>
      </c>
      <c r="AA28" s="1">
        <f t="shared" si="3"/>
        <v>159</v>
      </c>
      <c r="AB28" s="1">
        <f t="shared" si="4"/>
        <v>154</v>
      </c>
      <c r="AC28" s="1">
        <f t="shared" si="5"/>
        <v>0</v>
      </c>
      <c r="AD28" s="1">
        <f t="shared" si="6"/>
        <v>149</v>
      </c>
      <c r="AE28" s="1">
        <f t="shared" si="7"/>
        <v>94</v>
      </c>
      <c r="AF28" s="1">
        <f t="shared" si="8"/>
        <v>51</v>
      </c>
      <c r="AG28" s="1">
        <f t="shared" si="9"/>
        <v>4</v>
      </c>
      <c r="AH28" s="1">
        <f t="shared" si="10"/>
        <v>133</v>
      </c>
      <c r="AI28" s="1">
        <f t="shared" si="11"/>
        <v>123</v>
      </c>
      <c r="AJ28" s="1" t="str">
        <f t="shared" si="12"/>
        <v>PAS DE DATE PAPIER</v>
      </c>
      <c r="AK28" s="1">
        <f t="shared" si="13"/>
        <v>101</v>
      </c>
      <c r="AL28" s="1">
        <f t="shared" si="14"/>
        <v>117</v>
      </c>
      <c r="AM28" s="1">
        <f t="shared" si="15"/>
        <v>130</v>
      </c>
      <c r="AN28" s="1">
        <f t="shared" si="16"/>
        <v>-9</v>
      </c>
      <c r="AO28" s="1">
        <f t="shared" si="20"/>
        <v>10</v>
      </c>
      <c r="AP28" s="1">
        <f t="shared" si="18"/>
        <v>16</v>
      </c>
      <c r="AQ28" s="1">
        <f t="shared" si="0"/>
        <v>5</v>
      </c>
      <c r="AR28" s="1">
        <f t="shared" si="19"/>
        <v>5</v>
      </c>
    </row>
    <row r="29" spans="1:44" x14ac:dyDescent="0.3">
      <c r="A29" s="1">
        <v>25091</v>
      </c>
      <c r="B29" s="1" t="s">
        <v>34</v>
      </c>
      <c r="C29" s="3" t="s">
        <v>147</v>
      </c>
      <c r="D29" s="4">
        <v>2000</v>
      </c>
      <c r="E29" s="24">
        <f>_xlfn.XLOOKUP(A29,[1]PONCEBLANC!$Q:$Q,[1]PONCEBLANC!$J:$J,100,0)</f>
        <v>28680</v>
      </c>
      <c r="F29" s="2" t="s">
        <v>149</v>
      </c>
      <c r="G29" s="2">
        <v>45722</v>
      </c>
      <c r="H29" s="2">
        <v>45796</v>
      </c>
      <c r="I29" s="2">
        <v>45918</v>
      </c>
      <c r="J29" s="2">
        <v>45957</v>
      </c>
      <c r="K29" s="2">
        <v>45959</v>
      </c>
      <c r="L29" s="2">
        <v>45978</v>
      </c>
      <c r="N29" s="2">
        <v>45967</v>
      </c>
      <c r="O29" s="2">
        <v>45937</v>
      </c>
      <c r="P29" s="2">
        <v>45975</v>
      </c>
      <c r="Q29" s="2">
        <v>45981</v>
      </c>
      <c r="R29" s="2">
        <v>46003</v>
      </c>
      <c r="S29" s="2">
        <v>45996</v>
      </c>
      <c r="T29" s="2">
        <f>S29</f>
        <v>45996</v>
      </c>
      <c r="U29" s="1">
        <v>1</v>
      </c>
      <c r="Y29" s="1">
        <f t="shared" si="1"/>
        <v>196</v>
      </c>
      <c r="Z29" s="1">
        <f t="shared" si="2"/>
        <v>52</v>
      </c>
      <c r="AA29" s="1">
        <f t="shared" si="3"/>
        <v>144</v>
      </c>
      <c r="AB29" s="1">
        <f t="shared" si="4"/>
        <v>144</v>
      </c>
      <c r="AC29" s="1">
        <f t="shared" si="5"/>
        <v>-7</v>
      </c>
      <c r="AD29" s="1">
        <f t="shared" si="6"/>
        <v>129</v>
      </c>
      <c r="AE29" s="1">
        <f t="shared" si="7"/>
        <v>88</v>
      </c>
      <c r="AF29" s="1">
        <f t="shared" si="8"/>
        <v>27</v>
      </c>
      <c r="AG29" s="1">
        <f t="shared" si="9"/>
        <v>14</v>
      </c>
      <c r="AH29" s="1">
        <f t="shared" si="10"/>
        <v>133</v>
      </c>
      <c r="AI29" s="1">
        <f t="shared" si="11"/>
        <v>123</v>
      </c>
      <c r="AJ29" s="1" t="str">
        <f t="shared" si="12"/>
        <v>PAS DE DATE PAPIER</v>
      </c>
      <c r="AK29" s="1">
        <f t="shared" si="13"/>
        <v>101</v>
      </c>
      <c r="AL29" s="1">
        <f t="shared" si="14"/>
        <v>117</v>
      </c>
      <c r="AM29" s="1">
        <f t="shared" si="15"/>
        <v>130</v>
      </c>
      <c r="AN29" s="1">
        <f t="shared" si="16"/>
        <v>-9</v>
      </c>
      <c r="AO29" s="1">
        <f t="shared" si="20"/>
        <v>10</v>
      </c>
      <c r="AP29" s="1">
        <f t="shared" si="18"/>
        <v>4</v>
      </c>
      <c r="AQ29" s="1">
        <f t="shared" si="0"/>
        <v>11</v>
      </c>
      <c r="AR29" s="1">
        <f t="shared" si="19"/>
        <v>0</v>
      </c>
    </row>
    <row r="30" spans="1:44" x14ac:dyDescent="0.3">
      <c r="A30" s="1">
        <v>25091</v>
      </c>
      <c r="B30" s="1" t="s">
        <v>34</v>
      </c>
      <c r="C30" s="3" t="s">
        <v>148</v>
      </c>
      <c r="D30" s="4">
        <v>2000</v>
      </c>
      <c r="E30" s="24">
        <f>_xlfn.XLOOKUP(A30,[1]PONCEBLANC!$Q:$Q,[1]PONCEBLANC!$J:$J,100,0)</f>
        <v>28680</v>
      </c>
      <c r="F30" s="2" t="s">
        <v>149</v>
      </c>
      <c r="G30" s="2">
        <v>45722</v>
      </c>
      <c r="H30" s="2">
        <v>45796</v>
      </c>
      <c r="I30" s="2">
        <v>45926</v>
      </c>
      <c r="J30" s="2">
        <v>45957</v>
      </c>
      <c r="K30" s="2">
        <v>45959</v>
      </c>
      <c r="L30" s="2">
        <v>45982</v>
      </c>
      <c r="N30" s="2">
        <v>45967</v>
      </c>
      <c r="O30" s="2">
        <v>45937</v>
      </c>
      <c r="P30" s="2">
        <v>45975</v>
      </c>
      <c r="Q30" s="2">
        <v>45981</v>
      </c>
      <c r="R30" s="2">
        <v>46003</v>
      </c>
      <c r="S30" s="2">
        <v>46003</v>
      </c>
      <c r="T30" s="2">
        <v>46003</v>
      </c>
      <c r="U30" s="1">
        <v>1</v>
      </c>
      <c r="Y30" s="1">
        <f t="shared" si="1"/>
        <v>201</v>
      </c>
      <c r="Z30" s="1">
        <f t="shared" si="2"/>
        <v>52</v>
      </c>
      <c r="AA30" s="1">
        <f t="shared" si="3"/>
        <v>149</v>
      </c>
      <c r="AB30" s="1">
        <f t="shared" si="4"/>
        <v>149</v>
      </c>
      <c r="AC30" s="1">
        <f t="shared" si="5"/>
        <v>0</v>
      </c>
      <c r="AD30" s="1">
        <f t="shared" si="6"/>
        <v>129</v>
      </c>
      <c r="AE30" s="1">
        <f t="shared" si="7"/>
        <v>94</v>
      </c>
      <c r="AF30" s="1">
        <f t="shared" si="8"/>
        <v>21</v>
      </c>
      <c r="AG30" s="1">
        <f t="shared" si="9"/>
        <v>14</v>
      </c>
      <c r="AH30" s="1">
        <f t="shared" si="10"/>
        <v>133</v>
      </c>
      <c r="AI30" s="1">
        <f t="shared" si="11"/>
        <v>123</v>
      </c>
      <c r="AJ30" s="1" t="str">
        <f t="shared" si="12"/>
        <v>PAS DE DATE PAPIER</v>
      </c>
      <c r="AK30" s="1">
        <f t="shared" si="13"/>
        <v>101</v>
      </c>
      <c r="AL30" s="1">
        <f t="shared" si="14"/>
        <v>117</v>
      </c>
      <c r="AM30" s="1">
        <f t="shared" si="15"/>
        <v>134</v>
      </c>
      <c r="AN30" s="1">
        <f t="shared" si="16"/>
        <v>-13</v>
      </c>
      <c r="AO30" s="1">
        <f t="shared" si="20"/>
        <v>10</v>
      </c>
      <c r="AP30" s="1">
        <f t="shared" si="18"/>
        <v>4</v>
      </c>
      <c r="AQ30" s="1">
        <f t="shared" si="0"/>
        <v>16</v>
      </c>
      <c r="AR30" s="1">
        <f t="shared" si="19"/>
        <v>0</v>
      </c>
    </row>
    <row r="31" spans="1:44" x14ac:dyDescent="0.3">
      <c r="A31" s="1">
        <v>25092</v>
      </c>
      <c r="B31" s="1" t="s">
        <v>35</v>
      </c>
      <c r="C31" s="3" t="s">
        <v>150</v>
      </c>
      <c r="D31" s="4">
        <v>3000</v>
      </c>
      <c r="E31" s="24">
        <f>_xlfn.XLOOKUP(A31,[1]PONCEBLANC!$Q:$Q,[1]PONCEBLANC!$J:$J,100,0)</f>
        <v>26320</v>
      </c>
      <c r="F31" s="2" t="s">
        <v>136</v>
      </c>
      <c r="G31" s="2">
        <v>45762</v>
      </c>
      <c r="H31" s="2">
        <v>45796</v>
      </c>
      <c r="I31" s="2">
        <v>45875</v>
      </c>
      <c r="J31" s="2">
        <v>45910</v>
      </c>
      <c r="K31" s="2">
        <v>45912</v>
      </c>
      <c r="L31" s="2">
        <v>45888</v>
      </c>
      <c r="N31" s="2">
        <v>45910</v>
      </c>
      <c r="O31" s="2">
        <v>45813</v>
      </c>
      <c r="P31" s="2">
        <v>45919</v>
      </c>
      <c r="Q31" s="2">
        <v>45939</v>
      </c>
      <c r="R31" s="2">
        <v>45961</v>
      </c>
      <c r="S31" s="2">
        <v>45954</v>
      </c>
      <c r="T31" s="2">
        <v>45961</v>
      </c>
      <c r="U31" s="1">
        <v>2</v>
      </c>
      <c r="V31" s="3" t="s">
        <v>331</v>
      </c>
      <c r="Y31" s="1">
        <f t="shared" si="1"/>
        <v>143</v>
      </c>
      <c r="Z31" s="1">
        <f t="shared" si="2"/>
        <v>24</v>
      </c>
      <c r="AA31" s="1">
        <f t="shared" si="3"/>
        <v>119</v>
      </c>
      <c r="AB31" s="1">
        <f t="shared" si="4"/>
        <v>114</v>
      </c>
      <c r="AC31" s="1">
        <f t="shared" si="5"/>
        <v>-7</v>
      </c>
      <c r="AD31" s="1">
        <f t="shared" si="6"/>
        <v>89</v>
      </c>
      <c r="AE31" s="1">
        <f t="shared" si="7"/>
        <v>57</v>
      </c>
      <c r="AF31" s="1">
        <f t="shared" si="8"/>
        <v>25</v>
      </c>
      <c r="AG31" s="1">
        <f t="shared" si="9"/>
        <v>7</v>
      </c>
      <c r="AH31" s="1">
        <f t="shared" si="10"/>
        <v>103</v>
      </c>
      <c r="AI31" s="1">
        <f t="shared" si="11"/>
        <v>82</v>
      </c>
      <c r="AJ31" s="1" t="str">
        <f t="shared" si="12"/>
        <v>PAS DE DATE PAPIER</v>
      </c>
      <c r="AK31" s="1">
        <f t="shared" si="13"/>
        <v>13</v>
      </c>
      <c r="AL31" s="1">
        <f t="shared" si="14"/>
        <v>84</v>
      </c>
      <c r="AM31" s="1">
        <f t="shared" si="15"/>
        <v>66</v>
      </c>
      <c r="AN31" s="1">
        <f t="shared" si="16"/>
        <v>-4</v>
      </c>
      <c r="AO31" s="1">
        <f t="shared" si="20"/>
        <v>21</v>
      </c>
      <c r="AP31" s="1">
        <f t="shared" si="18"/>
        <v>14</v>
      </c>
      <c r="AQ31" s="1">
        <f t="shared" si="0"/>
        <v>11</v>
      </c>
      <c r="AR31" s="1">
        <f t="shared" si="19"/>
        <v>5</v>
      </c>
    </row>
    <row r="32" spans="1:44" x14ac:dyDescent="0.3">
      <c r="A32" s="1">
        <v>25092</v>
      </c>
      <c r="B32" s="1" t="s">
        <v>35</v>
      </c>
      <c r="C32" s="3" t="s">
        <v>151</v>
      </c>
      <c r="D32" s="4">
        <v>2800</v>
      </c>
      <c r="E32" s="24">
        <f>_xlfn.XLOOKUP(A32,[1]PONCEBLANC!$Q:$Q,[1]PONCEBLANC!$J:$J,100,0)</f>
        <v>26320</v>
      </c>
      <c r="F32" s="2" t="s">
        <v>152</v>
      </c>
      <c r="G32" s="2">
        <v>45762</v>
      </c>
      <c r="H32" s="2">
        <v>45796</v>
      </c>
      <c r="I32" s="2">
        <v>45937</v>
      </c>
      <c r="J32" s="2">
        <v>45943</v>
      </c>
      <c r="K32" s="2">
        <v>46361</v>
      </c>
      <c r="L32" s="2">
        <v>45982</v>
      </c>
      <c r="N32" s="2">
        <v>45999</v>
      </c>
      <c r="O32" s="2">
        <v>45813</v>
      </c>
      <c r="P32" s="2">
        <v>45964</v>
      </c>
      <c r="Q32" s="2">
        <v>46003</v>
      </c>
      <c r="R32" s="2">
        <v>46045</v>
      </c>
      <c r="S32" s="2">
        <v>46045</v>
      </c>
      <c r="T32" s="2">
        <v>46052</v>
      </c>
      <c r="U32" s="1">
        <v>1</v>
      </c>
      <c r="V32" s="3" t="s">
        <v>332</v>
      </c>
      <c r="W32" s="1" t="s">
        <v>333</v>
      </c>
      <c r="Y32" s="1">
        <f t="shared" si="1"/>
        <v>208</v>
      </c>
      <c r="Z32" s="1">
        <f t="shared" si="2"/>
        <v>24</v>
      </c>
      <c r="AA32" s="1">
        <f t="shared" si="3"/>
        <v>184</v>
      </c>
      <c r="AB32" s="1">
        <f t="shared" si="4"/>
        <v>179</v>
      </c>
      <c r="AC32" s="1">
        <f t="shared" si="5"/>
        <v>0</v>
      </c>
      <c r="AD32" s="1">
        <f t="shared" si="6"/>
        <v>120</v>
      </c>
      <c r="AE32" s="1">
        <f t="shared" si="7"/>
        <v>101</v>
      </c>
      <c r="AF32" s="1">
        <f t="shared" si="8"/>
        <v>4</v>
      </c>
      <c r="AG32" s="1">
        <f t="shared" si="9"/>
        <v>15</v>
      </c>
      <c r="AH32" s="1">
        <f t="shared" si="10"/>
        <v>149</v>
      </c>
      <c r="AI32" s="1">
        <f t="shared" si="11"/>
        <v>145</v>
      </c>
      <c r="AJ32" s="1" t="str">
        <f t="shared" si="12"/>
        <v>PAS DE DATE PAPIER</v>
      </c>
      <c r="AK32" s="1">
        <f t="shared" si="13"/>
        <v>13</v>
      </c>
      <c r="AL32" s="1">
        <f t="shared" si="14"/>
        <v>404</v>
      </c>
      <c r="AM32" s="1">
        <f t="shared" si="15"/>
        <v>134</v>
      </c>
      <c r="AN32" s="1">
        <f t="shared" si="16"/>
        <v>-261</v>
      </c>
      <c r="AO32" s="1">
        <f t="shared" si="20"/>
        <v>4</v>
      </c>
      <c r="AP32" s="1">
        <f t="shared" si="18"/>
        <v>29</v>
      </c>
      <c r="AQ32" s="1">
        <f t="shared" si="0"/>
        <v>30</v>
      </c>
      <c r="AR32" s="1">
        <f t="shared" si="19"/>
        <v>5</v>
      </c>
    </row>
    <row r="33" spans="1:44" x14ac:dyDescent="0.3">
      <c r="A33" s="1">
        <v>25093</v>
      </c>
      <c r="B33" s="1" t="s">
        <v>36</v>
      </c>
      <c r="C33" s="3" t="s">
        <v>37</v>
      </c>
      <c r="D33" s="4">
        <v>6500</v>
      </c>
      <c r="E33" s="24">
        <f>_xlfn.XLOOKUP(A33,[1]PONCEBLANC!$Q:$Q,[1]PONCEBLANC!$J:$J,100,0)</f>
        <v>38675</v>
      </c>
      <c r="F33" s="2" t="s">
        <v>149</v>
      </c>
      <c r="G33" s="2">
        <v>45765</v>
      </c>
      <c r="H33" s="2">
        <v>45796</v>
      </c>
      <c r="I33" s="2">
        <v>45797</v>
      </c>
      <c r="J33" s="2">
        <v>45866</v>
      </c>
      <c r="K33" s="2">
        <v>45895</v>
      </c>
      <c r="L33" s="2">
        <v>45903</v>
      </c>
      <c r="N33" s="2">
        <v>45910</v>
      </c>
      <c r="O33" s="2">
        <v>45813</v>
      </c>
      <c r="P33" s="2">
        <v>45912</v>
      </c>
      <c r="Q33" s="2">
        <v>45912</v>
      </c>
      <c r="R33" s="2">
        <v>45933</v>
      </c>
      <c r="S33" s="2">
        <v>45940</v>
      </c>
      <c r="T33" s="2">
        <v>45961</v>
      </c>
      <c r="U33" s="1">
        <v>4</v>
      </c>
      <c r="Y33" s="1">
        <f t="shared" si="1"/>
        <v>140</v>
      </c>
      <c r="Z33" s="1">
        <f t="shared" si="2"/>
        <v>21</v>
      </c>
      <c r="AA33" s="1">
        <f t="shared" si="3"/>
        <v>119</v>
      </c>
      <c r="AB33" s="1">
        <f t="shared" si="4"/>
        <v>104</v>
      </c>
      <c r="AC33" s="1">
        <f t="shared" si="5"/>
        <v>5</v>
      </c>
      <c r="AD33" s="1">
        <f t="shared" si="6"/>
        <v>84</v>
      </c>
      <c r="AE33" s="1">
        <f t="shared" si="7"/>
        <v>1</v>
      </c>
      <c r="AF33" s="1">
        <f t="shared" si="8"/>
        <v>49</v>
      </c>
      <c r="AG33" s="1">
        <f t="shared" si="9"/>
        <v>34</v>
      </c>
      <c r="AH33" s="1">
        <f t="shared" si="10"/>
        <v>84</v>
      </c>
      <c r="AI33" s="1">
        <f t="shared" si="11"/>
        <v>82</v>
      </c>
      <c r="AJ33" s="1" t="str">
        <f t="shared" si="12"/>
        <v>PAS DE DATE PAPIER</v>
      </c>
      <c r="AK33" s="1">
        <f t="shared" si="13"/>
        <v>13</v>
      </c>
      <c r="AL33" s="1">
        <f t="shared" si="14"/>
        <v>71</v>
      </c>
      <c r="AM33" s="1">
        <f t="shared" si="15"/>
        <v>77</v>
      </c>
      <c r="AN33" s="1">
        <f t="shared" si="16"/>
        <v>5</v>
      </c>
      <c r="AO33" s="1">
        <f t="shared" si="20"/>
        <v>2</v>
      </c>
      <c r="AP33" s="1">
        <f t="shared" si="18"/>
        <v>0</v>
      </c>
      <c r="AQ33" s="1">
        <f t="shared" si="0"/>
        <v>20</v>
      </c>
      <c r="AR33" s="1">
        <f t="shared" si="19"/>
        <v>15</v>
      </c>
    </row>
    <row r="34" spans="1:44" x14ac:dyDescent="0.3">
      <c r="A34" s="1">
        <v>25100</v>
      </c>
      <c r="B34" s="1" t="s">
        <v>38</v>
      </c>
      <c r="C34" s="3" t="s">
        <v>39</v>
      </c>
      <c r="D34" s="4">
        <v>4250</v>
      </c>
      <c r="E34" s="24">
        <f>_xlfn.XLOOKUP(A34,[1]PONCEBLANC!$Q:$Q,[1]PONCEBLANC!$J:$J,100,0)</f>
        <v>26307.5</v>
      </c>
      <c r="F34" s="2" t="s">
        <v>133</v>
      </c>
      <c r="G34" s="2">
        <v>45762</v>
      </c>
      <c r="H34" s="2">
        <v>45800</v>
      </c>
      <c r="J34" s="2">
        <v>45832</v>
      </c>
      <c r="K34" s="2">
        <v>45824</v>
      </c>
      <c r="L34" s="2">
        <v>45838</v>
      </c>
      <c r="M34" s="2">
        <v>45845</v>
      </c>
      <c r="N34" s="2">
        <v>45847</v>
      </c>
      <c r="P34" s="2">
        <v>45982</v>
      </c>
      <c r="Q34" s="2">
        <v>45945</v>
      </c>
      <c r="R34" s="2">
        <v>45905</v>
      </c>
      <c r="S34" s="2">
        <v>45905</v>
      </c>
      <c r="T34" s="2">
        <v>46003</v>
      </c>
      <c r="U34" s="1">
        <v>5</v>
      </c>
      <c r="V34" s="3" t="s">
        <v>197</v>
      </c>
      <c r="Y34" s="1">
        <f t="shared" si="1"/>
        <v>173</v>
      </c>
      <c r="Z34" s="1">
        <f t="shared" si="2"/>
        <v>28</v>
      </c>
      <c r="AA34" s="1">
        <f t="shared" si="3"/>
        <v>145</v>
      </c>
      <c r="AB34" s="1">
        <f t="shared" si="4"/>
        <v>75</v>
      </c>
      <c r="AC34" s="1">
        <f t="shared" si="5"/>
        <v>0</v>
      </c>
      <c r="AD34" s="1">
        <f t="shared" si="6"/>
        <v>130</v>
      </c>
      <c r="AE34" s="1" t="str">
        <f t="shared" si="7"/>
        <v>PAS DE COMMANDE MATIERE</v>
      </c>
      <c r="AF34" s="1">
        <f t="shared" si="8"/>
        <v>32736</v>
      </c>
      <c r="AG34" s="1">
        <f t="shared" si="9"/>
        <v>108</v>
      </c>
      <c r="AH34" s="1">
        <f t="shared" si="10"/>
        <v>103</v>
      </c>
      <c r="AI34" s="1">
        <f t="shared" si="11"/>
        <v>33</v>
      </c>
      <c r="AJ34" s="1">
        <f t="shared" si="12"/>
        <v>31</v>
      </c>
      <c r="AK34" s="1" t="str">
        <f t="shared" si="13"/>
        <v>PAS DE DATE CARTON</v>
      </c>
      <c r="AL34" s="1">
        <f t="shared" si="14"/>
        <v>16</v>
      </c>
      <c r="AM34" s="1">
        <f t="shared" si="15"/>
        <v>26</v>
      </c>
      <c r="AN34" s="1">
        <f t="shared" si="16"/>
        <v>7</v>
      </c>
      <c r="AO34" s="1">
        <f t="shared" si="20"/>
        <v>70</v>
      </c>
      <c r="AP34" s="1">
        <f t="shared" si="18"/>
        <v>27</v>
      </c>
      <c r="AQ34" s="1">
        <f t="shared" si="0"/>
        <v>-57</v>
      </c>
      <c r="AR34" s="1">
        <f t="shared" si="19"/>
        <v>70</v>
      </c>
    </row>
    <row r="35" spans="1:44" x14ac:dyDescent="0.3">
      <c r="A35" s="1">
        <v>25103</v>
      </c>
      <c r="B35" s="1" t="s">
        <v>40</v>
      </c>
      <c r="C35" s="3" t="s">
        <v>372</v>
      </c>
      <c r="D35" s="4">
        <v>500</v>
      </c>
      <c r="E35" s="24">
        <f>_xlfn.XLOOKUP(A35,[1]PONCEBLANC!$Q:$Q,[1]PONCEBLANC!$J:$J,100,0)</f>
        <v>3000</v>
      </c>
      <c r="G35" s="2">
        <v>45796</v>
      </c>
      <c r="H35" s="2">
        <v>45803</v>
      </c>
      <c r="I35" s="2">
        <v>45812</v>
      </c>
      <c r="J35" s="2">
        <v>45909</v>
      </c>
      <c r="K35" s="2">
        <v>45828</v>
      </c>
      <c r="L35" s="2">
        <v>45834</v>
      </c>
      <c r="M35" s="2" t="s">
        <v>199</v>
      </c>
      <c r="N35" s="2">
        <v>45839</v>
      </c>
      <c r="P35" s="2">
        <v>45912</v>
      </c>
      <c r="Q35" s="2">
        <v>45840</v>
      </c>
      <c r="R35" s="2">
        <v>45898</v>
      </c>
      <c r="S35" s="2">
        <v>45898</v>
      </c>
      <c r="T35" s="2">
        <v>45933</v>
      </c>
      <c r="U35" s="1">
        <v>2</v>
      </c>
      <c r="Y35" s="1">
        <f t="shared" si="1"/>
        <v>99</v>
      </c>
      <c r="Z35" s="1">
        <f t="shared" si="2"/>
        <v>5</v>
      </c>
      <c r="AA35" s="1">
        <f t="shared" si="3"/>
        <v>94</v>
      </c>
      <c r="AB35" s="1">
        <f t="shared" si="4"/>
        <v>69</v>
      </c>
      <c r="AC35" s="1">
        <f t="shared" si="5"/>
        <v>0</v>
      </c>
      <c r="AD35" s="1">
        <f t="shared" si="6"/>
        <v>79</v>
      </c>
      <c r="AE35" s="1">
        <f t="shared" si="7"/>
        <v>7</v>
      </c>
      <c r="AF35" s="1">
        <f t="shared" si="8"/>
        <v>69</v>
      </c>
      <c r="AG35" s="1">
        <f t="shared" si="9"/>
        <v>3</v>
      </c>
      <c r="AH35" s="1">
        <f t="shared" si="10"/>
        <v>27</v>
      </c>
      <c r="AI35" s="1">
        <f t="shared" si="11"/>
        <v>26</v>
      </c>
      <c r="AJ35" s="1" t="str">
        <f t="shared" si="12"/>
        <v>STOCK</v>
      </c>
      <c r="AK35" s="1" t="str">
        <f t="shared" si="13"/>
        <v>PAS DE DATE CARTON</v>
      </c>
      <c r="AL35" s="1">
        <f t="shared" si="14"/>
        <v>19</v>
      </c>
      <c r="AM35" s="1">
        <f t="shared" si="15"/>
        <v>23</v>
      </c>
      <c r="AN35" s="1">
        <f t="shared" si="16"/>
        <v>3</v>
      </c>
      <c r="AO35" s="1">
        <f t="shared" si="20"/>
        <v>1</v>
      </c>
      <c r="AP35" s="1">
        <f t="shared" si="18"/>
        <v>52</v>
      </c>
      <c r="AQ35" s="1">
        <f t="shared" si="0"/>
        <v>-12</v>
      </c>
      <c r="AR35" s="1">
        <f t="shared" si="19"/>
        <v>25</v>
      </c>
    </row>
    <row r="36" spans="1:44" x14ac:dyDescent="0.3">
      <c r="A36" s="1">
        <v>25104</v>
      </c>
      <c r="B36" s="1" t="s">
        <v>41</v>
      </c>
      <c r="C36" s="3" t="s">
        <v>42</v>
      </c>
      <c r="D36" s="4">
        <v>1000</v>
      </c>
      <c r="E36" s="24">
        <f>_xlfn.XLOOKUP(A36,[1]PONCEBLANC!$Q:$Q,[1]PONCEBLANC!$J:$J,100,0)</f>
        <v>20190</v>
      </c>
      <c r="F36" s="2" t="s">
        <v>133</v>
      </c>
      <c r="G36" s="2">
        <v>45713</v>
      </c>
      <c r="H36" s="2">
        <v>45803</v>
      </c>
      <c r="I36" s="2">
        <v>45805</v>
      </c>
      <c r="J36" s="2">
        <v>45824</v>
      </c>
      <c r="K36" s="2">
        <v>45848</v>
      </c>
      <c r="L36" s="2">
        <v>45856</v>
      </c>
      <c r="M36" s="2" t="s">
        <v>199</v>
      </c>
      <c r="N36" s="2">
        <v>45917</v>
      </c>
      <c r="O36" s="2">
        <v>45845</v>
      </c>
      <c r="P36" s="2">
        <v>45839</v>
      </c>
      <c r="Q36" s="2">
        <v>45919</v>
      </c>
      <c r="R36" s="2">
        <v>45891</v>
      </c>
      <c r="S36" s="2">
        <v>45898</v>
      </c>
      <c r="T36" s="2">
        <v>45947</v>
      </c>
      <c r="U36" s="1">
        <v>2</v>
      </c>
      <c r="V36" s="3" t="s">
        <v>198</v>
      </c>
      <c r="Y36" s="1">
        <f t="shared" si="1"/>
        <v>168</v>
      </c>
      <c r="Z36" s="1">
        <f t="shared" si="2"/>
        <v>64</v>
      </c>
      <c r="AA36" s="1">
        <f t="shared" si="3"/>
        <v>104</v>
      </c>
      <c r="AB36" s="1">
        <f t="shared" si="4"/>
        <v>69</v>
      </c>
      <c r="AC36" s="1">
        <f t="shared" si="5"/>
        <v>5</v>
      </c>
      <c r="AD36" s="1">
        <f t="shared" si="6"/>
        <v>26</v>
      </c>
      <c r="AE36" s="1">
        <f t="shared" si="7"/>
        <v>2</v>
      </c>
      <c r="AF36" s="1">
        <f t="shared" si="8"/>
        <v>13</v>
      </c>
      <c r="AG36" s="1">
        <f t="shared" si="9"/>
        <v>11</v>
      </c>
      <c r="AH36" s="1">
        <f t="shared" si="10"/>
        <v>84</v>
      </c>
      <c r="AI36" s="1">
        <f t="shared" si="11"/>
        <v>82</v>
      </c>
      <c r="AJ36" s="1" t="str">
        <f t="shared" si="12"/>
        <v>STOCK</v>
      </c>
      <c r="AK36" s="1">
        <f t="shared" si="13"/>
        <v>30</v>
      </c>
      <c r="AL36" s="1">
        <f t="shared" si="14"/>
        <v>33</v>
      </c>
      <c r="AM36" s="1">
        <f t="shared" si="15"/>
        <v>39</v>
      </c>
      <c r="AN36" s="1">
        <f t="shared" si="16"/>
        <v>43</v>
      </c>
      <c r="AO36" s="1">
        <f t="shared" si="20"/>
        <v>2</v>
      </c>
      <c r="AP36" s="1">
        <f t="shared" si="18"/>
        <v>58</v>
      </c>
      <c r="AQ36" s="1">
        <f t="shared" si="0"/>
        <v>-17</v>
      </c>
      <c r="AR36" s="1">
        <f t="shared" si="19"/>
        <v>35</v>
      </c>
    </row>
    <row r="37" spans="1:44" x14ac:dyDescent="0.3">
      <c r="A37" s="1">
        <v>25107</v>
      </c>
      <c r="B37" s="1" t="s">
        <v>43</v>
      </c>
      <c r="C37" s="3" t="s">
        <v>154</v>
      </c>
      <c r="D37" s="4">
        <v>9850</v>
      </c>
      <c r="E37" s="24">
        <f>_xlfn.XLOOKUP(A37,[1]PONCEBLANC!$Q:$Q,[1]PONCEBLANC!$J:$J,100,0)</f>
        <v>112110</v>
      </c>
      <c r="F37" s="2" t="s">
        <v>133</v>
      </c>
      <c r="G37" s="2">
        <v>45707</v>
      </c>
      <c r="H37" s="2">
        <v>45810</v>
      </c>
      <c r="I37" s="2">
        <v>45853</v>
      </c>
      <c r="J37" s="2">
        <v>46174</v>
      </c>
      <c r="K37" s="2">
        <v>45957</v>
      </c>
      <c r="L37" s="2">
        <v>45957</v>
      </c>
      <c r="N37" s="2">
        <v>46154</v>
      </c>
      <c r="O37" s="2">
        <v>45904</v>
      </c>
      <c r="P37" s="2">
        <v>46175</v>
      </c>
      <c r="Q37" s="2">
        <v>46065</v>
      </c>
      <c r="R37" s="2">
        <v>46062</v>
      </c>
      <c r="S37" s="2">
        <v>46031</v>
      </c>
      <c r="T37" s="2">
        <v>46184</v>
      </c>
      <c r="U37" s="1">
        <v>15</v>
      </c>
      <c r="V37" s="3" t="s">
        <v>320</v>
      </c>
      <c r="W37" s="1" t="s">
        <v>410</v>
      </c>
      <c r="Y37" s="1">
        <f t="shared" si="1"/>
        <v>341</v>
      </c>
      <c r="Z37" s="1">
        <f t="shared" si="2"/>
        <v>73</v>
      </c>
      <c r="AA37" s="1">
        <f t="shared" si="3"/>
        <v>268</v>
      </c>
      <c r="AB37" s="1">
        <f t="shared" si="4"/>
        <v>159</v>
      </c>
      <c r="AC37" s="1">
        <f t="shared" si="5"/>
        <v>-23</v>
      </c>
      <c r="AD37" s="1">
        <f t="shared" si="6"/>
        <v>261</v>
      </c>
      <c r="AE37" s="1">
        <f t="shared" si="7"/>
        <v>31</v>
      </c>
      <c r="AF37" s="1">
        <f t="shared" si="8"/>
        <v>229</v>
      </c>
      <c r="AG37" s="1">
        <f t="shared" si="9"/>
        <v>1</v>
      </c>
      <c r="AH37" s="1">
        <f t="shared" si="10"/>
        <v>183</v>
      </c>
      <c r="AI37" s="1">
        <f t="shared" si="11"/>
        <v>246</v>
      </c>
      <c r="AJ37" s="1" t="str">
        <f t="shared" si="12"/>
        <v>PAS DE DATE PAPIER</v>
      </c>
      <c r="AK37" s="1">
        <f t="shared" si="13"/>
        <v>68</v>
      </c>
      <c r="AL37" s="1">
        <f t="shared" si="14"/>
        <v>105</v>
      </c>
      <c r="AM37" s="1">
        <f t="shared" si="15"/>
        <v>105</v>
      </c>
      <c r="AN37" s="1">
        <f t="shared" si="16"/>
        <v>141</v>
      </c>
      <c r="AO37" s="1">
        <f t="shared" si="20"/>
        <v>-65</v>
      </c>
      <c r="AP37" s="1">
        <f t="shared" si="18"/>
        <v>78</v>
      </c>
      <c r="AQ37" s="1">
        <f t="shared" si="0"/>
        <v>-104</v>
      </c>
      <c r="AR37" s="1">
        <f t="shared" si="19"/>
        <v>109</v>
      </c>
    </row>
    <row r="38" spans="1:44" x14ac:dyDescent="0.3">
      <c r="A38" s="1">
        <v>25107</v>
      </c>
      <c r="B38" s="1" t="s">
        <v>43</v>
      </c>
      <c r="C38" s="3" t="s">
        <v>155</v>
      </c>
      <c r="D38" s="4">
        <v>3000</v>
      </c>
      <c r="E38" s="24">
        <f>_xlfn.XLOOKUP(A38,[1]PONCEBLANC!$Q:$Q,[1]PONCEBLANC!$J:$J,100,0)</f>
        <v>112110</v>
      </c>
      <c r="F38" s="2" t="s">
        <v>133</v>
      </c>
      <c r="G38" s="2">
        <v>45707</v>
      </c>
      <c r="H38" s="2">
        <v>45810</v>
      </c>
      <c r="Y38" s="1" t="str">
        <f t="shared" si="1"/>
        <v>DATE MANQUANTE</v>
      </c>
      <c r="Z38" s="1">
        <f t="shared" si="2"/>
        <v>73</v>
      </c>
      <c r="AA38" s="1" t="str">
        <f t="shared" si="3"/>
        <v>NON LIVRE</v>
      </c>
      <c r="AB38" s="1" t="str">
        <f t="shared" si="4"/>
        <v>NON LIVRE</v>
      </c>
      <c r="AC38" s="1" t="str">
        <f t="shared" si="5"/>
        <v>NON LIVRE</v>
      </c>
      <c r="AD38" s="1" t="str">
        <f t="shared" si="6"/>
        <v>NON LIVRE</v>
      </c>
      <c r="AE38" s="1" t="str">
        <f t="shared" si="7"/>
        <v>NON LIVRE</v>
      </c>
      <c r="AF38" s="1" t="str">
        <f t="shared" si="8"/>
        <v>NON LIVRE</v>
      </c>
      <c r="AG38" s="1" t="str">
        <f t="shared" si="9"/>
        <v>NON LIVRE</v>
      </c>
      <c r="AH38" s="1" t="str">
        <f t="shared" si="10"/>
        <v>NON LIVRE</v>
      </c>
      <c r="AI38" s="1" t="str">
        <f t="shared" si="11"/>
        <v>NON LIVRE</v>
      </c>
      <c r="AJ38" s="1" t="str">
        <f t="shared" si="12"/>
        <v>NON LIVRE</v>
      </c>
      <c r="AK38" s="1" t="str">
        <f t="shared" si="13"/>
        <v>NON LIVRE</v>
      </c>
      <c r="AL38" s="1" t="str">
        <f t="shared" si="14"/>
        <v>NON LIVRE</v>
      </c>
      <c r="AM38" s="1" t="str">
        <f t="shared" si="15"/>
        <v>NON LIVRE</v>
      </c>
      <c r="AN38" s="1" t="str">
        <f t="shared" si="16"/>
        <v>NON LIVRE</v>
      </c>
      <c r="AO38" s="1" t="str">
        <f>IFERROR(IF($T38="","NON LIVRE",IF($N38="","PAS D'IMPRESSION",IF($Q38="","PAS DE DATE DEPART EN PROD TIRAGES ET ACHATS",NETWORKDAYS($N38,$Q38)-1))),$Q38)</f>
        <v>NON LIVRE</v>
      </c>
      <c r="AP38" s="1" t="str">
        <f t="shared" si="18"/>
        <v>NON LIVRE</v>
      </c>
      <c r="AQ38" s="1" t="str">
        <f t="shared" si="0"/>
        <v>NON LIVRE</v>
      </c>
      <c r="AR38" s="1" t="str">
        <f t="shared" si="19"/>
        <v>NON LIVRE</v>
      </c>
    </row>
    <row r="39" spans="1:44" x14ac:dyDescent="0.3">
      <c r="A39" s="1">
        <v>25109</v>
      </c>
      <c r="B39" s="1" t="s">
        <v>44</v>
      </c>
      <c r="C39" s="3" t="s">
        <v>45</v>
      </c>
      <c r="D39" s="4">
        <v>1050</v>
      </c>
      <c r="E39" s="24">
        <f>_xlfn.XLOOKUP(A39,[1]PONCEBLANC!$Q:$Q,[1]PONCEBLANC!$J:$J,100,0)</f>
        <v>18700</v>
      </c>
      <c r="F39" s="2" t="s">
        <v>156</v>
      </c>
      <c r="G39" s="2">
        <v>45791</v>
      </c>
      <c r="H39" s="2">
        <v>45812</v>
      </c>
      <c r="J39" s="2">
        <v>45845</v>
      </c>
      <c r="K39" s="2">
        <v>45874</v>
      </c>
      <c r="N39" s="2">
        <v>45902</v>
      </c>
      <c r="O39" s="2">
        <v>45845</v>
      </c>
      <c r="P39" s="2">
        <v>45898</v>
      </c>
      <c r="Q39" s="2">
        <v>45904</v>
      </c>
      <c r="R39" s="2">
        <v>45926</v>
      </c>
      <c r="S39" s="2">
        <v>45919</v>
      </c>
      <c r="T39" s="2">
        <v>45926</v>
      </c>
      <c r="U39" s="1">
        <v>2</v>
      </c>
      <c r="Y39" s="1">
        <f t="shared" si="1"/>
        <v>97</v>
      </c>
      <c r="Z39" s="1">
        <f t="shared" si="2"/>
        <v>15</v>
      </c>
      <c r="AA39" s="1">
        <f t="shared" si="3"/>
        <v>82</v>
      </c>
      <c r="AB39" s="1">
        <f t="shared" si="4"/>
        <v>77</v>
      </c>
      <c r="AC39" s="1">
        <f t="shared" si="5"/>
        <v>-7</v>
      </c>
      <c r="AD39" s="1">
        <f t="shared" si="6"/>
        <v>62</v>
      </c>
      <c r="AE39" s="1" t="str">
        <f t="shared" si="7"/>
        <v>PAS DE COMMANDE MATIERE</v>
      </c>
      <c r="AF39" s="1">
        <f t="shared" si="8"/>
        <v>32745</v>
      </c>
      <c r="AG39" s="1">
        <f t="shared" si="9"/>
        <v>39</v>
      </c>
      <c r="AH39" s="1">
        <f t="shared" si="10"/>
        <v>66</v>
      </c>
      <c r="AI39" s="1">
        <f t="shared" si="11"/>
        <v>64</v>
      </c>
      <c r="AJ39" s="1" t="str">
        <f t="shared" si="12"/>
        <v>PAS DE DATE PAPIER</v>
      </c>
      <c r="AK39" s="1">
        <f t="shared" si="13"/>
        <v>23</v>
      </c>
      <c r="AL39" s="1">
        <f t="shared" si="14"/>
        <v>44</v>
      </c>
      <c r="AM39" s="1" t="str">
        <f t="shared" si="15"/>
        <v>PAS DE DATE VALIDATION MODELE CLIENT</v>
      </c>
      <c r="AN39" s="1">
        <f t="shared" si="16"/>
        <v>20</v>
      </c>
      <c r="AO39" s="1">
        <f t="shared" ref="AO39:AO102" si="21">IFERROR(IF($T39="","NON LIVRE",IF($N39="","PAS D'IMPRESSION",IF($Q39="","PAS DE DATE DEPART EN PROD TIRAGES ET ACHATS",NETWORKDAYS($N39,$Q39)-1))),$Q39)</f>
        <v>2</v>
      </c>
      <c r="AP39" s="1">
        <f t="shared" si="18"/>
        <v>4</v>
      </c>
      <c r="AQ39" s="1">
        <f t="shared" si="0"/>
        <v>11</v>
      </c>
      <c r="AR39" s="1">
        <f t="shared" si="19"/>
        <v>5</v>
      </c>
    </row>
    <row r="40" spans="1:44" x14ac:dyDescent="0.3">
      <c r="A40" s="1">
        <v>25109</v>
      </c>
      <c r="B40" s="1" t="s">
        <v>44</v>
      </c>
      <c r="C40" s="3" t="s">
        <v>46</v>
      </c>
      <c r="D40" s="4">
        <v>40</v>
      </c>
      <c r="E40" s="24">
        <f>_xlfn.XLOOKUP(A40,[1]PONCEBLANC!$Q:$Q,[1]PONCEBLANC!$J:$J,100,0)</f>
        <v>18700</v>
      </c>
      <c r="F40" s="2" t="s">
        <v>156</v>
      </c>
      <c r="G40" s="2">
        <v>45791</v>
      </c>
      <c r="H40" s="2">
        <v>45812</v>
      </c>
      <c r="J40" s="2">
        <v>45845</v>
      </c>
      <c r="K40" s="2">
        <v>45874</v>
      </c>
      <c r="N40" s="2">
        <v>45902</v>
      </c>
      <c r="O40" s="2">
        <v>45845</v>
      </c>
      <c r="P40" s="2">
        <v>45898</v>
      </c>
      <c r="Q40" s="2">
        <v>45904</v>
      </c>
      <c r="R40" s="2">
        <v>45926</v>
      </c>
      <c r="S40" s="2">
        <v>45926</v>
      </c>
      <c r="T40" s="2">
        <v>45926</v>
      </c>
      <c r="U40" s="1">
        <v>1</v>
      </c>
      <c r="Y40" s="1">
        <f t="shared" si="1"/>
        <v>97</v>
      </c>
      <c r="Z40" s="1">
        <f t="shared" si="2"/>
        <v>15</v>
      </c>
      <c r="AA40" s="1">
        <f t="shared" si="3"/>
        <v>82</v>
      </c>
      <c r="AB40" s="1">
        <f t="shared" si="4"/>
        <v>82</v>
      </c>
      <c r="AC40" s="1">
        <f t="shared" si="5"/>
        <v>0</v>
      </c>
      <c r="AD40" s="1">
        <f t="shared" si="6"/>
        <v>62</v>
      </c>
      <c r="AE40" s="1" t="str">
        <f t="shared" si="7"/>
        <v>PAS DE COMMANDE MATIERE</v>
      </c>
      <c r="AF40" s="1">
        <f t="shared" si="8"/>
        <v>32745</v>
      </c>
      <c r="AG40" s="1">
        <f t="shared" si="9"/>
        <v>39</v>
      </c>
      <c r="AH40" s="1">
        <f t="shared" si="10"/>
        <v>66</v>
      </c>
      <c r="AI40" s="1">
        <f t="shared" si="11"/>
        <v>64</v>
      </c>
      <c r="AJ40" s="1" t="str">
        <f t="shared" si="12"/>
        <v>PAS DE DATE PAPIER</v>
      </c>
      <c r="AK40" s="1">
        <f t="shared" si="13"/>
        <v>23</v>
      </c>
      <c r="AL40" s="1">
        <f t="shared" si="14"/>
        <v>44</v>
      </c>
      <c r="AM40" s="1" t="str">
        <f t="shared" si="15"/>
        <v>PAS DE DATE VALIDATION MODELE CLIENT</v>
      </c>
      <c r="AN40" s="1">
        <f t="shared" si="16"/>
        <v>20</v>
      </c>
      <c r="AO40" s="1">
        <f t="shared" si="21"/>
        <v>2</v>
      </c>
      <c r="AP40" s="1">
        <f t="shared" si="18"/>
        <v>4</v>
      </c>
      <c r="AQ40" s="1">
        <f t="shared" si="0"/>
        <v>16</v>
      </c>
      <c r="AR40" s="1">
        <f t="shared" si="19"/>
        <v>0</v>
      </c>
    </row>
    <row r="41" spans="1:44" x14ac:dyDescent="0.3">
      <c r="A41" s="1">
        <v>25110</v>
      </c>
      <c r="B41" s="1" t="s">
        <v>17</v>
      </c>
      <c r="C41" s="3" t="s">
        <v>47</v>
      </c>
      <c r="D41" s="4">
        <v>3000</v>
      </c>
      <c r="E41" s="24">
        <f>_xlfn.XLOOKUP(A41,[1]PONCEBLANC!$Q:$Q,[1]PONCEBLANC!$J:$J,100,0)</f>
        <v>15750</v>
      </c>
      <c r="F41" s="2" t="s">
        <v>136</v>
      </c>
      <c r="G41" s="2">
        <v>45769</v>
      </c>
      <c r="H41" s="2">
        <v>45812</v>
      </c>
      <c r="I41" s="2">
        <v>45813</v>
      </c>
      <c r="J41" s="2">
        <v>45869</v>
      </c>
      <c r="K41" s="2">
        <v>45863</v>
      </c>
      <c r="L41" s="2">
        <v>45871</v>
      </c>
      <c r="N41" s="2">
        <v>45903</v>
      </c>
      <c r="O41" s="2">
        <v>45845</v>
      </c>
      <c r="P41" s="2">
        <v>45926</v>
      </c>
      <c r="Q41" s="2">
        <v>45912</v>
      </c>
      <c r="R41" s="2">
        <v>45933</v>
      </c>
      <c r="S41" s="2">
        <v>45933</v>
      </c>
      <c r="T41" s="2">
        <v>45940</v>
      </c>
      <c r="U41" s="1">
        <v>2</v>
      </c>
      <c r="Y41" s="1">
        <f t="shared" si="1"/>
        <v>123</v>
      </c>
      <c r="Z41" s="1">
        <f t="shared" si="2"/>
        <v>31</v>
      </c>
      <c r="AA41" s="1">
        <f t="shared" si="3"/>
        <v>92</v>
      </c>
      <c r="AB41" s="1">
        <f t="shared" si="4"/>
        <v>87</v>
      </c>
      <c r="AC41" s="1">
        <f t="shared" si="5"/>
        <v>0</v>
      </c>
      <c r="AD41" s="1">
        <f t="shared" si="6"/>
        <v>82</v>
      </c>
      <c r="AE41" s="1">
        <f t="shared" si="7"/>
        <v>1</v>
      </c>
      <c r="AF41" s="1">
        <f t="shared" si="8"/>
        <v>40</v>
      </c>
      <c r="AG41" s="1">
        <f t="shared" si="9"/>
        <v>41</v>
      </c>
      <c r="AH41" s="1">
        <f t="shared" si="10"/>
        <v>72</v>
      </c>
      <c r="AI41" s="1">
        <f t="shared" si="11"/>
        <v>65</v>
      </c>
      <c r="AJ41" s="1" t="str">
        <f t="shared" si="12"/>
        <v>PAS DE DATE PAPIER</v>
      </c>
      <c r="AK41" s="1">
        <f t="shared" si="13"/>
        <v>23</v>
      </c>
      <c r="AL41" s="1">
        <f t="shared" si="14"/>
        <v>37</v>
      </c>
      <c r="AM41" s="1">
        <f t="shared" si="15"/>
        <v>42</v>
      </c>
      <c r="AN41" s="1">
        <f t="shared" si="16"/>
        <v>22</v>
      </c>
      <c r="AO41" s="1">
        <f t="shared" si="21"/>
        <v>7</v>
      </c>
      <c r="AP41" s="1">
        <f t="shared" si="18"/>
        <v>10</v>
      </c>
      <c r="AQ41" s="1">
        <f t="shared" si="0"/>
        <v>5</v>
      </c>
      <c r="AR41" s="1">
        <f t="shared" si="19"/>
        <v>5</v>
      </c>
    </row>
    <row r="42" spans="1:44" x14ac:dyDescent="0.3">
      <c r="A42" s="1">
        <v>25114</v>
      </c>
      <c r="B42" s="1" t="s">
        <v>17</v>
      </c>
      <c r="C42" s="3" t="s">
        <v>48</v>
      </c>
      <c r="D42" s="4">
        <v>6000</v>
      </c>
      <c r="E42" s="24">
        <f>_xlfn.XLOOKUP(A42,[1]PONCEBLANC!$Q:$Q,[1]PONCEBLANC!$J:$J,100,0)</f>
        <v>47880</v>
      </c>
      <c r="F42" s="2" t="s">
        <v>140</v>
      </c>
      <c r="G42" s="2">
        <v>45782</v>
      </c>
      <c r="H42" s="2">
        <v>45814</v>
      </c>
      <c r="I42" s="2">
        <v>45840</v>
      </c>
      <c r="J42" s="2">
        <v>45860</v>
      </c>
      <c r="K42" s="2">
        <v>45855</v>
      </c>
      <c r="L42" s="2" t="s">
        <v>315</v>
      </c>
      <c r="N42" s="2">
        <v>45873</v>
      </c>
      <c r="O42" s="2">
        <v>45841</v>
      </c>
      <c r="P42" s="2">
        <v>45898</v>
      </c>
      <c r="Q42" s="2">
        <v>45918</v>
      </c>
      <c r="R42" s="2">
        <v>45919</v>
      </c>
      <c r="S42" s="2">
        <v>45919</v>
      </c>
      <c r="T42" s="2">
        <v>45985</v>
      </c>
      <c r="U42" s="1">
        <v>5</v>
      </c>
      <c r="Y42" s="1">
        <f t="shared" si="1"/>
        <v>145</v>
      </c>
      <c r="Z42" s="1">
        <f t="shared" si="2"/>
        <v>24</v>
      </c>
      <c r="AA42" s="1">
        <f t="shared" si="3"/>
        <v>121</v>
      </c>
      <c r="AB42" s="1">
        <f t="shared" si="4"/>
        <v>75</v>
      </c>
      <c r="AC42" s="1">
        <f t="shared" si="5"/>
        <v>0</v>
      </c>
      <c r="AD42" s="1">
        <f t="shared" si="6"/>
        <v>60</v>
      </c>
      <c r="AE42" s="1">
        <f t="shared" si="7"/>
        <v>18</v>
      </c>
      <c r="AF42" s="1">
        <f t="shared" si="8"/>
        <v>14</v>
      </c>
      <c r="AG42" s="1">
        <f t="shared" si="9"/>
        <v>28</v>
      </c>
      <c r="AH42" s="1">
        <f t="shared" si="10"/>
        <v>74</v>
      </c>
      <c r="AI42" s="1">
        <f t="shared" si="11"/>
        <v>41</v>
      </c>
      <c r="AJ42" s="1" t="str">
        <f t="shared" si="12"/>
        <v>PAS DE DATE PAPIER</v>
      </c>
      <c r="AK42" s="1">
        <f t="shared" si="13"/>
        <v>19</v>
      </c>
      <c r="AL42" s="1">
        <f t="shared" si="14"/>
        <v>29</v>
      </c>
      <c r="AM42" s="1" t="str">
        <f t="shared" si="15"/>
        <v>ANC FAB</v>
      </c>
      <c r="AN42" s="1">
        <f t="shared" si="16"/>
        <v>12</v>
      </c>
      <c r="AO42" s="1">
        <f t="shared" si="21"/>
        <v>33</v>
      </c>
      <c r="AP42" s="1">
        <f t="shared" si="18"/>
        <v>14</v>
      </c>
      <c r="AQ42" s="1">
        <f t="shared" si="0"/>
        <v>1</v>
      </c>
      <c r="AR42" s="1">
        <f t="shared" si="19"/>
        <v>46</v>
      </c>
    </row>
    <row r="43" spans="1:44" x14ac:dyDescent="0.3">
      <c r="A43" s="1">
        <v>25115</v>
      </c>
      <c r="B43" s="1" t="s">
        <v>17</v>
      </c>
      <c r="C43" s="3" t="s">
        <v>49</v>
      </c>
      <c r="D43" s="4">
        <v>10000</v>
      </c>
      <c r="E43" s="24">
        <f>_xlfn.XLOOKUP(A43,[1]PONCEBLANC!$Q:$Q,[1]PONCEBLANC!$J:$J,100,0)</f>
        <v>66405</v>
      </c>
      <c r="F43" s="2" t="s">
        <v>140</v>
      </c>
      <c r="G43" s="2">
        <v>45782</v>
      </c>
      <c r="H43" s="2">
        <v>45814</v>
      </c>
      <c r="I43" s="2">
        <v>45980</v>
      </c>
      <c r="J43" s="2">
        <v>45999</v>
      </c>
      <c r="K43" s="2">
        <v>46014</v>
      </c>
      <c r="L43" s="2">
        <v>46042</v>
      </c>
      <c r="N43" s="2">
        <v>46139</v>
      </c>
      <c r="O43" s="2">
        <v>46148</v>
      </c>
      <c r="P43" s="2">
        <v>46057</v>
      </c>
      <c r="Q43" s="2">
        <v>46155</v>
      </c>
      <c r="R43" s="2">
        <v>46080</v>
      </c>
      <c r="S43" s="2">
        <v>46080</v>
      </c>
      <c r="T43" s="2">
        <v>46129</v>
      </c>
      <c r="U43" s="1">
        <v>6</v>
      </c>
      <c r="Y43" s="1">
        <f t="shared" si="1"/>
        <v>249</v>
      </c>
      <c r="Z43" s="1">
        <f t="shared" si="2"/>
        <v>24</v>
      </c>
      <c r="AA43" s="1">
        <f t="shared" si="3"/>
        <v>225</v>
      </c>
      <c r="AB43" s="1">
        <f t="shared" si="4"/>
        <v>190</v>
      </c>
      <c r="AC43" s="1">
        <f t="shared" si="5"/>
        <v>0</v>
      </c>
      <c r="AD43" s="1">
        <f t="shared" si="6"/>
        <v>173</v>
      </c>
      <c r="AE43" s="1">
        <f t="shared" si="7"/>
        <v>118</v>
      </c>
      <c r="AF43" s="1">
        <f t="shared" si="8"/>
        <v>13</v>
      </c>
      <c r="AG43" s="1">
        <f t="shared" si="9"/>
        <v>42</v>
      </c>
      <c r="AH43" s="1">
        <f t="shared" si="10"/>
        <v>243</v>
      </c>
      <c r="AI43" s="1">
        <f t="shared" si="11"/>
        <v>231</v>
      </c>
      <c r="AJ43" s="1" t="str">
        <f t="shared" si="12"/>
        <v>PAS DE DATE PAPIER</v>
      </c>
      <c r="AK43" s="1">
        <f t="shared" si="13"/>
        <v>238</v>
      </c>
      <c r="AL43" s="1">
        <f t="shared" si="14"/>
        <v>142</v>
      </c>
      <c r="AM43" s="1">
        <f t="shared" si="15"/>
        <v>162</v>
      </c>
      <c r="AN43" s="1">
        <f t="shared" si="16"/>
        <v>69</v>
      </c>
      <c r="AO43" s="1">
        <f t="shared" si="21"/>
        <v>12</v>
      </c>
      <c r="AP43" s="1">
        <f t="shared" si="18"/>
        <v>70</v>
      </c>
      <c r="AQ43" s="1">
        <f t="shared" si="0"/>
        <v>-55</v>
      </c>
      <c r="AR43" s="1">
        <f t="shared" si="19"/>
        <v>35</v>
      </c>
    </row>
    <row r="44" spans="1:44" x14ac:dyDescent="0.3">
      <c r="A44" s="1">
        <v>25115</v>
      </c>
      <c r="B44" s="1" t="s">
        <v>17</v>
      </c>
      <c r="C44" s="3" t="s">
        <v>50</v>
      </c>
      <c r="D44" s="4">
        <v>3500</v>
      </c>
      <c r="E44" s="24">
        <f>_xlfn.XLOOKUP(A44,[1]PONCEBLANC!$Q:$Q,[1]PONCEBLANC!$J:$J,100,0)</f>
        <v>66405</v>
      </c>
      <c r="F44" s="2" t="s">
        <v>157</v>
      </c>
      <c r="G44" s="2">
        <v>45782</v>
      </c>
      <c r="H44" s="2">
        <v>45814</v>
      </c>
      <c r="I44" s="2">
        <v>45980</v>
      </c>
      <c r="J44" s="2">
        <v>45999</v>
      </c>
      <c r="K44" s="2">
        <v>46014</v>
      </c>
      <c r="L44" s="2">
        <v>46042</v>
      </c>
      <c r="N44" s="2">
        <v>46139</v>
      </c>
      <c r="O44" s="2">
        <v>46148</v>
      </c>
      <c r="P44" s="2">
        <v>46057</v>
      </c>
      <c r="Q44" s="2">
        <v>46155</v>
      </c>
      <c r="R44" s="2">
        <v>46080</v>
      </c>
      <c r="S44" s="2">
        <v>46080</v>
      </c>
      <c r="T44" s="2">
        <v>46129</v>
      </c>
      <c r="U44" s="1">
        <v>6</v>
      </c>
      <c r="V44" s="3" t="s">
        <v>339</v>
      </c>
      <c r="Y44" s="1">
        <f t="shared" si="1"/>
        <v>249</v>
      </c>
      <c r="Z44" s="1">
        <f t="shared" si="2"/>
        <v>24</v>
      </c>
      <c r="AA44" s="1">
        <f t="shared" si="3"/>
        <v>225</v>
      </c>
      <c r="AB44" s="1">
        <f t="shared" si="4"/>
        <v>190</v>
      </c>
      <c r="AC44" s="1">
        <f t="shared" si="5"/>
        <v>0</v>
      </c>
      <c r="AD44" s="1">
        <f t="shared" si="6"/>
        <v>173</v>
      </c>
      <c r="AE44" s="1">
        <f t="shared" si="7"/>
        <v>118</v>
      </c>
      <c r="AF44" s="1">
        <f t="shared" si="8"/>
        <v>13</v>
      </c>
      <c r="AG44" s="1">
        <f t="shared" si="9"/>
        <v>42</v>
      </c>
      <c r="AH44" s="1">
        <f t="shared" si="10"/>
        <v>243</v>
      </c>
      <c r="AI44" s="1">
        <f t="shared" si="11"/>
        <v>231</v>
      </c>
      <c r="AJ44" s="1" t="str">
        <f t="shared" si="12"/>
        <v>PAS DE DATE PAPIER</v>
      </c>
      <c r="AK44" s="1">
        <f t="shared" si="13"/>
        <v>238</v>
      </c>
      <c r="AL44" s="1">
        <f t="shared" si="14"/>
        <v>142</v>
      </c>
      <c r="AM44" s="1">
        <f t="shared" si="15"/>
        <v>162</v>
      </c>
      <c r="AN44" s="1">
        <f t="shared" si="16"/>
        <v>69</v>
      </c>
      <c r="AO44" s="1">
        <f t="shared" si="21"/>
        <v>12</v>
      </c>
      <c r="AP44" s="1">
        <f t="shared" si="18"/>
        <v>70</v>
      </c>
      <c r="AQ44" s="1">
        <f t="shared" si="0"/>
        <v>-55</v>
      </c>
      <c r="AR44" s="1">
        <f t="shared" si="19"/>
        <v>35</v>
      </c>
    </row>
    <row r="45" spans="1:44" x14ac:dyDescent="0.3">
      <c r="A45" s="1">
        <v>25117</v>
      </c>
      <c r="B45" s="1" t="s">
        <v>35</v>
      </c>
      <c r="C45" s="3" t="s">
        <v>52</v>
      </c>
      <c r="D45" s="4">
        <v>2000</v>
      </c>
      <c r="E45" s="24">
        <f>_xlfn.XLOOKUP(A45,[1]PONCEBLANC!$Q:$Q,[1]PONCEBLANC!$J:$J,100,0)</f>
        <v>28380</v>
      </c>
      <c r="F45" s="2" t="s">
        <v>133</v>
      </c>
      <c r="G45" s="2">
        <v>45804</v>
      </c>
      <c r="H45" s="2">
        <v>45818</v>
      </c>
      <c r="I45" s="2">
        <v>45818</v>
      </c>
      <c r="J45" s="2">
        <v>45901</v>
      </c>
      <c r="K45" s="2">
        <v>45832</v>
      </c>
      <c r="L45" s="2">
        <v>45866</v>
      </c>
      <c r="N45" s="2">
        <v>45881</v>
      </c>
      <c r="O45" s="2">
        <v>45842</v>
      </c>
      <c r="P45" s="2">
        <v>45891</v>
      </c>
      <c r="Q45" s="2">
        <v>45911</v>
      </c>
      <c r="R45" s="2">
        <v>45919</v>
      </c>
      <c r="S45" s="2">
        <v>45919</v>
      </c>
      <c r="T45" s="2">
        <v>45926</v>
      </c>
      <c r="U45" s="1">
        <v>2</v>
      </c>
      <c r="Y45" s="1">
        <f t="shared" si="1"/>
        <v>88</v>
      </c>
      <c r="Z45" s="1">
        <f t="shared" si="2"/>
        <v>10</v>
      </c>
      <c r="AA45" s="1">
        <f t="shared" si="3"/>
        <v>78</v>
      </c>
      <c r="AB45" s="1">
        <f t="shared" si="4"/>
        <v>73</v>
      </c>
      <c r="AC45" s="1">
        <f t="shared" si="5"/>
        <v>0</v>
      </c>
      <c r="AD45" s="1">
        <f t="shared" si="6"/>
        <v>53</v>
      </c>
      <c r="AE45" s="1">
        <f t="shared" si="7"/>
        <v>0</v>
      </c>
      <c r="AF45" s="1">
        <f t="shared" si="8"/>
        <v>59</v>
      </c>
      <c r="AG45" s="1">
        <f t="shared" si="9"/>
        <v>-8</v>
      </c>
      <c r="AH45" s="1">
        <f t="shared" si="10"/>
        <v>67</v>
      </c>
      <c r="AI45" s="1">
        <f t="shared" si="11"/>
        <v>45</v>
      </c>
      <c r="AJ45" s="1" t="str">
        <f t="shared" si="12"/>
        <v>PAS DE DATE PAPIER</v>
      </c>
      <c r="AK45" s="1">
        <f t="shared" si="13"/>
        <v>18</v>
      </c>
      <c r="AL45" s="1">
        <f t="shared" si="14"/>
        <v>10</v>
      </c>
      <c r="AM45" s="1">
        <f t="shared" si="15"/>
        <v>34</v>
      </c>
      <c r="AN45" s="1">
        <f t="shared" si="16"/>
        <v>11</v>
      </c>
      <c r="AO45" s="1">
        <f t="shared" si="21"/>
        <v>22</v>
      </c>
      <c r="AP45" s="1">
        <f t="shared" si="18"/>
        <v>14</v>
      </c>
      <c r="AQ45" s="1">
        <f t="shared" si="0"/>
        <v>6</v>
      </c>
      <c r="AR45" s="1">
        <f t="shared" si="19"/>
        <v>5</v>
      </c>
    </row>
    <row r="46" spans="1:44" x14ac:dyDescent="0.3">
      <c r="A46" s="1">
        <v>25119</v>
      </c>
      <c r="B46" s="1" t="s">
        <v>53</v>
      </c>
      <c r="C46" s="3" t="s">
        <v>54</v>
      </c>
      <c r="D46" s="4">
        <v>500</v>
      </c>
      <c r="E46" s="24">
        <f>_xlfn.XLOOKUP(A46,[1]PONCEBLANC!$Q:$Q,[1]PONCEBLANC!$J:$J,100,0)</f>
        <v>44970</v>
      </c>
      <c r="F46" s="2" t="s">
        <v>158</v>
      </c>
      <c r="G46" s="2">
        <v>45764</v>
      </c>
      <c r="H46" s="2">
        <v>45820</v>
      </c>
      <c r="J46" s="2">
        <v>46178</v>
      </c>
      <c r="K46" s="2">
        <v>46101</v>
      </c>
      <c r="L46" s="2">
        <v>46064</v>
      </c>
      <c r="N46" s="2">
        <v>46120</v>
      </c>
      <c r="P46" s="2">
        <v>46185</v>
      </c>
      <c r="Q46" s="2">
        <v>46164</v>
      </c>
      <c r="R46" s="2">
        <v>46157</v>
      </c>
      <c r="S46" s="2">
        <v>46157</v>
      </c>
      <c r="T46" s="2">
        <v>46199</v>
      </c>
      <c r="U46" s="1">
        <v>3</v>
      </c>
      <c r="Y46" s="1">
        <f t="shared" si="1"/>
        <v>311</v>
      </c>
      <c r="Z46" s="1">
        <f t="shared" si="2"/>
        <v>40</v>
      </c>
      <c r="AA46" s="1">
        <f t="shared" si="3"/>
        <v>271</v>
      </c>
      <c r="AB46" s="1">
        <f t="shared" si="4"/>
        <v>241</v>
      </c>
      <c r="AC46" s="1">
        <f t="shared" si="5"/>
        <v>0</v>
      </c>
      <c r="AD46" s="1">
        <f t="shared" si="6"/>
        <v>261</v>
      </c>
      <c r="AE46" s="1" t="str">
        <f t="shared" si="7"/>
        <v>PAS DE COMMANDE MATIERE</v>
      </c>
      <c r="AF46" s="1">
        <f t="shared" si="8"/>
        <v>32984</v>
      </c>
      <c r="AG46" s="1">
        <f t="shared" si="9"/>
        <v>5</v>
      </c>
      <c r="AH46" s="1">
        <f t="shared" si="10"/>
        <v>246</v>
      </c>
      <c r="AI46" s="1">
        <f t="shared" si="11"/>
        <v>214</v>
      </c>
      <c r="AJ46" s="1" t="str">
        <f t="shared" si="12"/>
        <v>PAS DE DATE PAPIER</v>
      </c>
      <c r="AK46" s="1" t="str">
        <f t="shared" si="13"/>
        <v>PAS DE DATE CARTON</v>
      </c>
      <c r="AL46" s="1">
        <f t="shared" si="14"/>
        <v>201</v>
      </c>
      <c r="AM46" s="1">
        <f t="shared" si="15"/>
        <v>174</v>
      </c>
      <c r="AN46" s="1">
        <f t="shared" si="16"/>
        <v>13</v>
      </c>
      <c r="AO46" s="1">
        <f t="shared" si="21"/>
        <v>32</v>
      </c>
      <c r="AP46" s="1">
        <f t="shared" si="18"/>
        <v>15</v>
      </c>
      <c r="AQ46" s="1">
        <f t="shared" si="0"/>
        <v>-22</v>
      </c>
      <c r="AR46" s="1">
        <f t="shared" si="19"/>
        <v>30</v>
      </c>
    </row>
    <row r="47" spans="1:44" x14ac:dyDescent="0.3">
      <c r="A47" s="1">
        <v>25121</v>
      </c>
      <c r="B47" s="1" t="s">
        <v>55</v>
      </c>
      <c r="C47" s="3" t="s">
        <v>56</v>
      </c>
      <c r="D47" s="4">
        <v>250</v>
      </c>
      <c r="E47" s="24">
        <f>_xlfn.XLOOKUP(A47,[1]PONCEBLANC!$Q:$Q,[1]PONCEBLANC!$J:$J,100,0)</f>
        <v>3200</v>
      </c>
      <c r="F47" s="2" t="s">
        <v>135</v>
      </c>
      <c r="G47" s="2">
        <v>45811</v>
      </c>
      <c r="H47" s="2">
        <v>45826</v>
      </c>
      <c r="I47" s="2">
        <v>45826</v>
      </c>
      <c r="J47" s="2">
        <v>45910</v>
      </c>
      <c r="K47" s="2">
        <v>45896</v>
      </c>
      <c r="L47" s="2">
        <v>45901</v>
      </c>
      <c r="N47" s="2">
        <v>45924</v>
      </c>
      <c r="O47" s="2" t="s">
        <v>199</v>
      </c>
      <c r="P47" s="2">
        <v>45919</v>
      </c>
      <c r="Q47" s="2">
        <v>45925</v>
      </c>
      <c r="R47" s="2">
        <v>45954</v>
      </c>
      <c r="S47" s="2">
        <v>45954</v>
      </c>
      <c r="T47" s="2">
        <v>45954</v>
      </c>
      <c r="U47" s="1">
        <v>1</v>
      </c>
      <c r="Y47" s="1">
        <f t="shared" si="1"/>
        <v>103</v>
      </c>
      <c r="Z47" s="1">
        <f t="shared" si="2"/>
        <v>11</v>
      </c>
      <c r="AA47" s="1">
        <f t="shared" si="3"/>
        <v>92</v>
      </c>
      <c r="AB47" s="1">
        <f t="shared" si="4"/>
        <v>92</v>
      </c>
      <c r="AC47" s="1">
        <f t="shared" si="5"/>
        <v>0</v>
      </c>
      <c r="AD47" s="1">
        <f t="shared" si="6"/>
        <v>67</v>
      </c>
      <c r="AE47" s="1">
        <f t="shared" si="7"/>
        <v>0</v>
      </c>
      <c r="AF47" s="1">
        <f t="shared" si="8"/>
        <v>60</v>
      </c>
      <c r="AG47" s="1">
        <f t="shared" si="9"/>
        <v>7</v>
      </c>
      <c r="AH47" s="1">
        <f t="shared" si="10"/>
        <v>71</v>
      </c>
      <c r="AI47" s="1">
        <f t="shared" si="11"/>
        <v>70</v>
      </c>
      <c r="AJ47" s="1" t="str">
        <f t="shared" si="12"/>
        <v>PAS DE DATE PAPIER</v>
      </c>
      <c r="AK47" s="1" t="str">
        <f t="shared" si="13"/>
        <v>STOCK</v>
      </c>
      <c r="AL47" s="1">
        <f t="shared" si="14"/>
        <v>50</v>
      </c>
      <c r="AM47" s="1">
        <f t="shared" si="15"/>
        <v>53</v>
      </c>
      <c r="AN47" s="1">
        <f t="shared" si="16"/>
        <v>17</v>
      </c>
      <c r="AO47" s="1">
        <f t="shared" si="21"/>
        <v>1</v>
      </c>
      <c r="AP47" s="1">
        <f t="shared" si="18"/>
        <v>4</v>
      </c>
      <c r="AQ47" s="1">
        <f t="shared" si="0"/>
        <v>21</v>
      </c>
      <c r="AR47" s="1">
        <f t="shared" si="19"/>
        <v>0</v>
      </c>
    </row>
    <row r="48" spans="1:44" x14ac:dyDescent="0.3">
      <c r="A48" s="1">
        <v>25122</v>
      </c>
      <c r="B48" s="1" t="s">
        <v>9</v>
      </c>
      <c r="C48" s="3" t="s">
        <v>57</v>
      </c>
      <c r="D48" s="4">
        <v>2500</v>
      </c>
      <c r="E48" s="24">
        <f>_xlfn.XLOOKUP(A48,[1]PONCEBLANC!$Q:$Q,[1]PONCEBLANC!$J:$J,100,0)</f>
        <v>38500</v>
      </c>
      <c r="F48" s="2" t="s">
        <v>133</v>
      </c>
      <c r="G48" s="2">
        <v>45692</v>
      </c>
      <c r="H48" s="2">
        <v>45826</v>
      </c>
      <c r="I48" s="2">
        <v>45824</v>
      </c>
      <c r="J48" s="2">
        <v>45860</v>
      </c>
      <c r="K48" s="2">
        <v>45834</v>
      </c>
      <c r="M48" s="2">
        <v>45846</v>
      </c>
      <c r="N48" s="2">
        <v>45847</v>
      </c>
      <c r="O48" s="2">
        <v>45845</v>
      </c>
      <c r="P48" s="2">
        <v>45905</v>
      </c>
      <c r="Q48" s="2">
        <v>45876</v>
      </c>
      <c r="R48" s="2">
        <v>45898</v>
      </c>
      <c r="S48" s="2">
        <v>45898</v>
      </c>
      <c r="T48" s="2">
        <v>45919</v>
      </c>
      <c r="U48" s="1">
        <v>3</v>
      </c>
      <c r="Y48" s="1">
        <f t="shared" si="1"/>
        <v>163</v>
      </c>
      <c r="Z48" s="1">
        <f t="shared" si="2"/>
        <v>96</v>
      </c>
      <c r="AA48" s="1">
        <f t="shared" si="3"/>
        <v>67</v>
      </c>
      <c r="AB48" s="1">
        <f t="shared" si="4"/>
        <v>52</v>
      </c>
      <c r="AC48" s="1">
        <f t="shared" si="5"/>
        <v>0</v>
      </c>
      <c r="AD48" s="1">
        <f t="shared" si="6"/>
        <v>57</v>
      </c>
      <c r="AE48" s="1">
        <f t="shared" si="7"/>
        <v>-4</v>
      </c>
      <c r="AF48" s="1">
        <f t="shared" si="8"/>
        <v>26</v>
      </c>
      <c r="AG48" s="1">
        <f t="shared" si="9"/>
        <v>33</v>
      </c>
      <c r="AH48" s="1">
        <f t="shared" si="10"/>
        <v>36</v>
      </c>
      <c r="AI48" s="1">
        <f t="shared" si="11"/>
        <v>15</v>
      </c>
      <c r="AJ48" s="1">
        <f t="shared" si="12"/>
        <v>14</v>
      </c>
      <c r="AK48" s="1">
        <f t="shared" si="13"/>
        <v>13</v>
      </c>
      <c r="AL48" s="1">
        <f t="shared" si="14"/>
        <v>6</v>
      </c>
      <c r="AM48" s="1" t="str">
        <f t="shared" si="15"/>
        <v>PAS DE DATE VALIDATION MODELE CLIENT</v>
      </c>
      <c r="AN48" s="1">
        <f t="shared" si="16"/>
        <v>9</v>
      </c>
      <c r="AO48" s="1">
        <f t="shared" si="21"/>
        <v>21</v>
      </c>
      <c r="AP48" s="1">
        <f t="shared" si="18"/>
        <v>21</v>
      </c>
      <c r="AQ48" s="1">
        <f t="shared" si="0"/>
        <v>-7</v>
      </c>
      <c r="AR48" s="1">
        <f t="shared" si="19"/>
        <v>15</v>
      </c>
    </row>
    <row r="49" spans="1:44" x14ac:dyDescent="0.3">
      <c r="A49" s="1">
        <v>25123</v>
      </c>
      <c r="B49" s="1" t="s">
        <v>58</v>
      </c>
      <c r="C49" s="3" t="s">
        <v>59</v>
      </c>
      <c r="D49" s="4">
        <v>1920</v>
      </c>
      <c r="E49" s="24">
        <f>_xlfn.XLOOKUP(A49,[1]PONCEBLANC!$Q:$Q,[1]PONCEBLANC!$J:$J,100,0)</f>
        <v>5313.6</v>
      </c>
      <c r="F49" s="2" t="s">
        <v>137</v>
      </c>
      <c r="G49" s="2">
        <v>45817</v>
      </c>
      <c r="H49" s="2">
        <v>45827</v>
      </c>
      <c r="J49" s="2">
        <v>45854</v>
      </c>
      <c r="K49" s="2">
        <v>45863</v>
      </c>
      <c r="N49" s="2">
        <v>45874</v>
      </c>
      <c r="P49" s="2">
        <v>45876</v>
      </c>
      <c r="Q49" s="2">
        <v>45919</v>
      </c>
      <c r="R49" s="2">
        <v>45919</v>
      </c>
      <c r="S49" s="2">
        <v>45919</v>
      </c>
      <c r="T49" s="2">
        <v>45933</v>
      </c>
      <c r="U49" s="1">
        <v>2</v>
      </c>
      <c r="Y49" s="1">
        <f t="shared" si="1"/>
        <v>84</v>
      </c>
      <c r="Z49" s="1">
        <f t="shared" si="2"/>
        <v>8</v>
      </c>
      <c r="AA49" s="1">
        <f t="shared" si="3"/>
        <v>76</v>
      </c>
      <c r="AB49" s="1">
        <f t="shared" si="4"/>
        <v>66</v>
      </c>
      <c r="AC49" s="1">
        <f t="shared" si="5"/>
        <v>0</v>
      </c>
      <c r="AD49" s="1">
        <f t="shared" si="6"/>
        <v>35</v>
      </c>
      <c r="AE49" s="1" t="str">
        <f t="shared" si="7"/>
        <v>PAS DE COMMANDE MATIERE</v>
      </c>
      <c r="AF49" s="1">
        <f t="shared" si="8"/>
        <v>32752</v>
      </c>
      <c r="AG49" s="1">
        <f t="shared" si="9"/>
        <v>16</v>
      </c>
      <c r="AH49" s="1">
        <f t="shared" si="10"/>
        <v>66</v>
      </c>
      <c r="AI49" s="1">
        <f t="shared" si="11"/>
        <v>33</v>
      </c>
      <c r="AJ49" s="1" t="str">
        <f t="shared" si="12"/>
        <v>PAS DE DATE PAPIER</v>
      </c>
      <c r="AK49" s="1" t="str">
        <f t="shared" si="13"/>
        <v>PAS DE DATE CARTON</v>
      </c>
      <c r="AL49" s="1">
        <f t="shared" si="14"/>
        <v>26</v>
      </c>
      <c r="AM49" s="1" t="str">
        <f t="shared" si="15"/>
        <v>PAS DE DATE VALIDATION MODELE CLIENT</v>
      </c>
      <c r="AN49" s="1">
        <f t="shared" si="16"/>
        <v>7</v>
      </c>
      <c r="AO49" s="1">
        <f t="shared" si="21"/>
        <v>33</v>
      </c>
      <c r="AP49" s="1">
        <f t="shared" si="18"/>
        <v>31</v>
      </c>
      <c r="AQ49" s="1">
        <f t="shared" si="0"/>
        <v>0</v>
      </c>
      <c r="AR49" s="1">
        <f t="shared" si="19"/>
        <v>10</v>
      </c>
    </row>
    <row r="50" spans="1:44" x14ac:dyDescent="0.3">
      <c r="A50" s="1">
        <v>25124</v>
      </c>
      <c r="B50" s="1" t="s">
        <v>60</v>
      </c>
      <c r="C50" s="5" t="s">
        <v>159</v>
      </c>
      <c r="D50" s="4">
        <v>1500</v>
      </c>
      <c r="E50" s="24">
        <f>_xlfn.XLOOKUP(A50,[1]PONCEBLANC!$Q:$Q,[1]PONCEBLANC!$J:$J,100,0)</f>
        <v>26234.999999999996</v>
      </c>
      <c r="F50" s="2" t="s">
        <v>133</v>
      </c>
      <c r="G50" s="2">
        <v>45827</v>
      </c>
      <c r="H50" s="2">
        <v>45828</v>
      </c>
      <c r="I50" s="2">
        <v>45835</v>
      </c>
      <c r="J50" s="2">
        <v>45874</v>
      </c>
      <c r="K50" s="2">
        <v>45832</v>
      </c>
      <c r="L50" s="2" t="s">
        <v>315</v>
      </c>
      <c r="M50" s="2">
        <v>45846</v>
      </c>
      <c r="N50" s="2">
        <v>45834</v>
      </c>
      <c r="O50" s="2">
        <v>45845</v>
      </c>
      <c r="P50" s="2">
        <v>45919</v>
      </c>
      <c r="Q50" s="2">
        <v>45905</v>
      </c>
      <c r="R50" s="2">
        <v>45933</v>
      </c>
      <c r="S50" s="2">
        <v>45933</v>
      </c>
      <c r="T50" s="2">
        <v>45940</v>
      </c>
      <c r="U50" s="1">
        <v>2</v>
      </c>
      <c r="Y50" s="1">
        <f t="shared" si="1"/>
        <v>81</v>
      </c>
      <c r="Z50" s="1">
        <f t="shared" si="2"/>
        <v>1</v>
      </c>
      <c r="AA50" s="1">
        <f t="shared" si="3"/>
        <v>80</v>
      </c>
      <c r="AB50" s="1">
        <f t="shared" si="4"/>
        <v>75</v>
      </c>
      <c r="AC50" s="1">
        <f t="shared" si="5"/>
        <v>0</v>
      </c>
      <c r="AD50" s="1">
        <f t="shared" si="6"/>
        <v>65</v>
      </c>
      <c r="AE50" s="1">
        <f t="shared" si="7"/>
        <v>5</v>
      </c>
      <c r="AF50" s="1">
        <f t="shared" si="8"/>
        <v>27</v>
      </c>
      <c r="AG50" s="1">
        <f t="shared" si="9"/>
        <v>33</v>
      </c>
      <c r="AH50" s="1">
        <f t="shared" si="10"/>
        <v>55</v>
      </c>
      <c r="AI50" s="1">
        <f t="shared" si="11"/>
        <v>4</v>
      </c>
      <c r="AJ50" s="1">
        <f t="shared" si="12"/>
        <v>12</v>
      </c>
      <c r="AK50" s="1">
        <f t="shared" si="13"/>
        <v>11</v>
      </c>
      <c r="AL50" s="1">
        <f t="shared" si="14"/>
        <v>2</v>
      </c>
      <c r="AM50" s="1" t="str">
        <f t="shared" si="15"/>
        <v>ANC FAB</v>
      </c>
      <c r="AN50" s="1">
        <f t="shared" si="16"/>
        <v>2</v>
      </c>
      <c r="AO50" s="1">
        <f t="shared" si="21"/>
        <v>51</v>
      </c>
      <c r="AP50" s="1">
        <f t="shared" si="18"/>
        <v>10</v>
      </c>
      <c r="AQ50" s="1">
        <f t="shared" si="0"/>
        <v>10</v>
      </c>
      <c r="AR50" s="1">
        <f t="shared" si="19"/>
        <v>5</v>
      </c>
    </row>
    <row r="51" spans="1:44" x14ac:dyDescent="0.3">
      <c r="A51" s="1">
        <v>25124</v>
      </c>
      <c r="B51" s="1" t="s">
        <v>60</v>
      </c>
      <c r="C51" s="5" t="s">
        <v>161</v>
      </c>
      <c r="D51" s="4">
        <v>1500</v>
      </c>
      <c r="E51" s="24">
        <f>_xlfn.XLOOKUP(A51,[1]PONCEBLANC!$Q:$Q,[1]PONCEBLANC!$J:$J,100,0)</f>
        <v>26234.999999999996</v>
      </c>
      <c r="F51" s="2" t="s">
        <v>133</v>
      </c>
      <c r="G51" s="2">
        <v>45827</v>
      </c>
      <c r="H51" s="2">
        <v>45828</v>
      </c>
      <c r="I51" s="2">
        <v>45834</v>
      </c>
      <c r="J51" s="2">
        <v>45912</v>
      </c>
      <c r="K51" s="2">
        <v>45832</v>
      </c>
      <c r="L51" s="2" t="s">
        <v>315</v>
      </c>
      <c r="M51" s="2">
        <v>45846</v>
      </c>
      <c r="N51" s="2">
        <v>45834</v>
      </c>
      <c r="O51" s="2">
        <v>45845</v>
      </c>
      <c r="P51" s="2">
        <v>45919</v>
      </c>
      <c r="Q51" s="2">
        <v>45905</v>
      </c>
      <c r="R51" s="2">
        <v>45982</v>
      </c>
      <c r="S51" s="2">
        <v>45940</v>
      </c>
      <c r="T51" s="2">
        <v>45947</v>
      </c>
      <c r="U51" s="1">
        <v>2</v>
      </c>
      <c r="Y51" s="1">
        <f t="shared" si="1"/>
        <v>86</v>
      </c>
      <c r="Z51" s="1">
        <f t="shared" si="2"/>
        <v>1</v>
      </c>
      <c r="AA51" s="1">
        <f t="shared" si="3"/>
        <v>85</v>
      </c>
      <c r="AB51" s="1">
        <f t="shared" si="4"/>
        <v>80</v>
      </c>
      <c r="AC51" s="1">
        <f t="shared" si="5"/>
        <v>-32</v>
      </c>
      <c r="AD51" s="1">
        <f t="shared" si="6"/>
        <v>65</v>
      </c>
      <c r="AE51" s="1">
        <f t="shared" si="7"/>
        <v>4</v>
      </c>
      <c r="AF51" s="1">
        <f t="shared" si="8"/>
        <v>56</v>
      </c>
      <c r="AG51" s="1">
        <f t="shared" si="9"/>
        <v>5</v>
      </c>
      <c r="AH51" s="1">
        <f t="shared" si="10"/>
        <v>55</v>
      </c>
      <c r="AI51" s="1">
        <f t="shared" si="11"/>
        <v>4</v>
      </c>
      <c r="AJ51" s="1">
        <f t="shared" si="12"/>
        <v>12</v>
      </c>
      <c r="AK51" s="1">
        <f t="shared" si="13"/>
        <v>11</v>
      </c>
      <c r="AL51" s="1">
        <f t="shared" si="14"/>
        <v>2</v>
      </c>
      <c r="AM51" s="1" t="str">
        <f t="shared" si="15"/>
        <v>ANC FAB</v>
      </c>
      <c r="AN51" s="1">
        <f t="shared" si="16"/>
        <v>2</v>
      </c>
      <c r="AO51" s="1">
        <f t="shared" si="21"/>
        <v>51</v>
      </c>
      <c r="AP51" s="1">
        <f t="shared" si="18"/>
        <v>10</v>
      </c>
      <c r="AQ51" s="1">
        <f t="shared" si="0"/>
        <v>15</v>
      </c>
      <c r="AR51" s="1">
        <f t="shared" si="19"/>
        <v>5</v>
      </c>
    </row>
    <row r="52" spans="1:44" x14ac:dyDescent="0.3">
      <c r="A52" s="1">
        <v>25124</v>
      </c>
      <c r="B52" s="1" t="s">
        <v>60</v>
      </c>
      <c r="C52" s="5" t="s">
        <v>162</v>
      </c>
      <c r="D52" s="4">
        <v>2000</v>
      </c>
      <c r="E52" s="24">
        <f>_xlfn.XLOOKUP(A52,[1]PONCEBLANC!$Q:$Q,[1]PONCEBLANC!$J:$J,100,0)</f>
        <v>26234.999999999996</v>
      </c>
      <c r="F52" s="2" t="s">
        <v>133</v>
      </c>
      <c r="G52" s="2">
        <v>45827</v>
      </c>
      <c r="H52" s="2">
        <v>45828</v>
      </c>
      <c r="I52" s="2">
        <v>45834</v>
      </c>
      <c r="J52" s="2">
        <v>45877</v>
      </c>
      <c r="K52" s="2">
        <v>45832</v>
      </c>
      <c r="L52" s="2" t="s">
        <v>315</v>
      </c>
      <c r="M52" s="2">
        <v>45846</v>
      </c>
      <c r="N52" s="2">
        <v>45834</v>
      </c>
      <c r="O52" s="2">
        <v>45845</v>
      </c>
      <c r="P52" s="2">
        <v>45919</v>
      </c>
      <c r="Q52" s="2">
        <v>45905</v>
      </c>
      <c r="R52" s="2">
        <v>45926</v>
      </c>
      <c r="S52" s="2">
        <v>45926</v>
      </c>
      <c r="T52" s="2">
        <v>45933</v>
      </c>
      <c r="U52" s="1">
        <v>2</v>
      </c>
      <c r="Y52" s="1">
        <f t="shared" si="1"/>
        <v>76</v>
      </c>
      <c r="Z52" s="1">
        <f t="shared" si="2"/>
        <v>1</v>
      </c>
      <c r="AA52" s="1">
        <f t="shared" si="3"/>
        <v>75</v>
      </c>
      <c r="AB52" s="1">
        <f t="shared" si="4"/>
        <v>70</v>
      </c>
      <c r="AC52" s="1">
        <f t="shared" si="5"/>
        <v>0</v>
      </c>
      <c r="AD52" s="1">
        <f t="shared" si="6"/>
        <v>65</v>
      </c>
      <c r="AE52" s="1">
        <f t="shared" si="7"/>
        <v>4</v>
      </c>
      <c r="AF52" s="1">
        <f t="shared" si="8"/>
        <v>31</v>
      </c>
      <c r="AG52" s="1">
        <f t="shared" si="9"/>
        <v>30</v>
      </c>
      <c r="AH52" s="1">
        <f t="shared" si="10"/>
        <v>55</v>
      </c>
      <c r="AI52" s="1">
        <f t="shared" si="11"/>
        <v>4</v>
      </c>
      <c r="AJ52" s="1">
        <f t="shared" si="12"/>
        <v>12</v>
      </c>
      <c r="AK52" s="1">
        <f t="shared" si="13"/>
        <v>11</v>
      </c>
      <c r="AL52" s="1">
        <f t="shared" si="14"/>
        <v>2</v>
      </c>
      <c r="AM52" s="1" t="str">
        <f t="shared" si="15"/>
        <v>ANC FAB</v>
      </c>
      <c r="AN52" s="1">
        <f t="shared" si="16"/>
        <v>2</v>
      </c>
      <c r="AO52" s="1">
        <f t="shared" si="21"/>
        <v>51</v>
      </c>
      <c r="AP52" s="1">
        <f t="shared" si="18"/>
        <v>10</v>
      </c>
      <c r="AQ52" s="1">
        <f t="shared" si="0"/>
        <v>5</v>
      </c>
      <c r="AR52" s="1">
        <f t="shared" si="19"/>
        <v>5</v>
      </c>
    </row>
    <row r="53" spans="1:44" x14ac:dyDescent="0.3">
      <c r="A53" s="1">
        <v>25124</v>
      </c>
      <c r="B53" s="1" t="s">
        <v>60</v>
      </c>
      <c r="C53" s="5" t="s">
        <v>163</v>
      </c>
      <c r="D53" s="4">
        <v>2000</v>
      </c>
      <c r="E53" s="24">
        <f>_xlfn.XLOOKUP(A53,[1]PONCEBLANC!$Q:$Q,[1]PONCEBLANC!$J:$J,100,0)</f>
        <v>26234.999999999996</v>
      </c>
      <c r="F53" s="2" t="s">
        <v>133</v>
      </c>
      <c r="G53" s="2">
        <v>45827</v>
      </c>
      <c r="H53" s="2">
        <v>45828</v>
      </c>
      <c r="M53" s="2">
        <v>45846</v>
      </c>
      <c r="N53" s="2">
        <v>45834</v>
      </c>
      <c r="O53" s="2">
        <v>45845</v>
      </c>
      <c r="P53" s="2">
        <v>45919</v>
      </c>
      <c r="Q53" s="2">
        <v>45905</v>
      </c>
      <c r="Y53" s="1" t="str">
        <f t="shared" si="1"/>
        <v>DATE MANQUANTE</v>
      </c>
      <c r="Z53" s="1">
        <f t="shared" si="2"/>
        <v>1</v>
      </c>
      <c r="AA53" s="1" t="str">
        <f t="shared" si="3"/>
        <v>NON LIVRE</v>
      </c>
      <c r="AB53" s="1" t="str">
        <f t="shared" si="4"/>
        <v>NON LIVRE</v>
      </c>
      <c r="AC53" s="1" t="str">
        <f t="shared" si="5"/>
        <v>NON LIVRE</v>
      </c>
      <c r="AD53" s="1" t="str">
        <f t="shared" si="6"/>
        <v>NON LIVRE</v>
      </c>
      <c r="AE53" s="1" t="str">
        <f t="shared" si="7"/>
        <v>NON LIVRE</v>
      </c>
      <c r="AF53" s="1" t="str">
        <f t="shared" si="8"/>
        <v>NON LIVRE</v>
      </c>
      <c r="AG53" s="1" t="str">
        <f t="shared" si="9"/>
        <v>NON LIVRE</v>
      </c>
      <c r="AH53" s="1" t="str">
        <f t="shared" si="10"/>
        <v>NON LIVRE</v>
      </c>
      <c r="AI53" s="1" t="str">
        <f t="shared" si="11"/>
        <v>NON LIVRE</v>
      </c>
      <c r="AJ53" s="1" t="str">
        <f t="shared" si="12"/>
        <v>NON LIVRE</v>
      </c>
      <c r="AK53" s="1" t="str">
        <f t="shared" si="13"/>
        <v>NON LIVRE</v>
      </c>
      <c r="AL53" s="1" t="str">
        <f t="shared" si="14"/>
        <v>NON LIVRE</v>
      </c>
      <c r="AM53" s="1" t="str">
        <f t="shared" si="15"/>
        <v>NON LIVRE</v>
      </c>
      <c r="AN53" s="1" t="str">
        <f t="shared" si="16"/>
        <v>NON LIVRE</v>
      </c>
      <c r="AO53" s="1" t="str">
        <f t="shared" si="21"/>
        <v>NON LIVRE</v>
      </c>
      <c r="AP53" s="1" t="str">
        <f t="shared" si="18"/>
        <v>NON LIVRE</v>
      </c>
      <c r="AQ53" s="1" t="str">
        <f t="shared" si="0"/>
        <v>NON LIVRE</v>
      </c>
      <c r="AR53" s="1" t="str">
        <f t="shared" si="19"/>
        <v>NON LIVRE</v>
      </c>
    </row>
    <row r="54" spans="1:44" x14ac:dyDescent="0.3">
      <c r="A54" s="1">
        <v>25125</v>
      </c>
      <c r="B54" s="1" t="s">
        <v>43</v>
      </c>
      <c r="C54" s="3" t="s">
        <v>61</v>
      </c>
      <c r="D54" s="4">
        <v>5880</v>
      </c>
      <c r="E54" s="24">
        <f>_xlfn.XLOOKUP(A54,[1]PONCEBLANC!$Q:$Q,[1]PONCEBLANC!$J:$J,100,0)</f>
        <v>167815.19999999998</v>
      </c>
      <c r="F54" s="2" t="s">
        <v>133</v>
      </c>
      <c r="G54" s="2">
        <v>45791</v>
      </c>
      <c r="H54" s="2">
        <v>45831</v>
      </c>
      <c r="I54" s="2">
        <v>45834</v>
      </c>
      <c r="J54" s="2">
        <v>45877</v>
      </c>
      <c r="K54" s="2">
        <v>45849</v>
      </c>
      <c r="L54" s="2">
        <v>45926</v>
      </c>
      <c r="N54" s="2">
        <v>45910</v>
      </c>
      <c r="O54" s="2">
        <v>45908</v>
      </c>
      <c r="P54" s="2">
        <v>45924</v>
      </c>
      <c r="Q54" s="2">
        <v>45946</v>
      </c>
      <c r="R54" s="2">
        <v>45954</v>
      </c>
      <c r="S54" s="2">
        <v>45954</v>
      </c>
      <c r="T54" s="2">
        <v>45975</v>
      </c>
      <c r="U54" s="1">
        <v>4</v>
      </c>
      <c r="Y54" s="1">
        <f t="shared" si="1"/>
        <v>132</v>
      </c>
      <c r="Z54" s="1">
        <f t="shared" si="2"/>
        <v>28</v>
      </c>
      <c r="AA54" s="1">
        <f t="shared" si="3"/>
        <v>104</v>
      </c>
      <c r="AB54" s="1">
        <f t="shared" si="4"/>
        <v>89</v>
      </c>
      <c r="AC54" s="1">
        <f t="shared" si="5"/>
        <v>0</v>
      </c>
      <c r="AD54" s="1">
        <f t="shared" si="6"/>
        <v>67</v>
      </c>
      <c r="AE54" s="1">
        <f t="shared" si="7"/>
        <v>3</v>
      </c>
      <c r="AF54" s="1">
        <f t="shared" si="8"/>
        <v>31</v>
      </c>
      <c r="AG54" s="1">
        <f t="shared" si="9"/>
        <v>33</v>
      </c>
      <c r="AH54" s="1">
        <f t="shared" si="10"/>
        <v>83</v>
      </c>
      <c r="AI54" s="1">
        <f t="shared" si="11"/>
        <v>57</v>
      </c>
      <c r="AJ54" s="1" t="str">
        <f t="shared" si="12"/>
        <v>PAS DE DATE PAPIER</v>
      </c>
      <c r="AK54" s="1">
        <f t="shared" si="13"/>
        <v>55</v>
      </c>
      <c r="AL54" s="1">
        <f t="shared" si="14"/>
        <v>14</v>
      </c>
      <c r="AM54" s="1">
        <f t="shared" si="15"/>
        <v>69</v>
      </c>
      <c r="AN54" s="1">
        <f t="shared" si="16"/>
        <v>-14</v>
      </c>
      <c r="AO54" s="1">
        <f t="shared" si="21"/>
        <v>26</v>
      </c>
      <c r="AP54" s="1">
        <f t="shared" si="18"/>
        <v>16</v>
      </c>
      <c r="AQ54" s="1">
        <f t="shared" si="0"/>
        <v>6</v>
      </c>
      <c r="AR54" s="1">
        <f t="shared" si="19"/>
        <v>15</v>
      </c>
    </row>
    <row r="55" spans="1:44" x14ac:dyDescent="0.3">
      <c r="A55" s="1">
        <v>25127</v>
      </c>
      <c r="B55" s="1" t="s">
        <v>8</v>
      </c>
      <c r="C55" s="5" t="s">
        <v>164</v>
      </c>
      <c r="D55" s="4">
        <v>800</v>
      </c>
      <c r="E55" s="24">
        <f>_xlfn.XLOOKUP(A55,[1]PONCEBLANC!$Q:$Q,[1]PONCEBLANC!$J:$J,100,0)</f>
        <v>52000</v>
      </c>
      <c r="F55" s="2" t="s">
        <v>136</v>
      </c>
      <c r="G55" s="2">
        <v>45581</v>
      </c>
      <c r="H55" s="2">
        <v>45831</v>
      </c>
      <c r="Y55" s="1" t="str">
        <f t="shared" si="1"/>
        <v>DATE MANQUANTE</v>
      </c>
      <c r="Z55" s="1">
        <f t="shared" si="2"/>
        <v>178</v>
      </c>
      <c r="AA55" s="1" t="str">
        <f t="shared" si="3"/>
        <v>NON LIVRE</v>
      </c>
      <c r="AB55" s="1" t="str">
        <f t="shared" si="4"/>
        <v>NON LIVRE</v>
      </c>
      <c r="AC55" s="1" t="str">
        <f t="shared" si="5"/>
        <v>NON LIVRE</v>
      </c>
      <c r="AD55" s="1" t="str">
        <f t="shared" si="6"/>
        <v>NON LIVRE</v>
      </c>
      <c r="AE55" s="1" t="str">
        <f t="shared" si="7"/>
        <v>NON LIVRE</v>
      </c>
      <c r="AF55" s="1" t="str">
        <f t="shared" si="8"/>
        <v>NON LIVRE</v>
      </c>
      <c r="AG55" s="1" t="str">
        <f t="shared" si="9"/>
        <v>NON LIVRE</v>
      </c>
      <c r="AH55" s="1" t="str">
        <f t="shared" si="10"/>
        <v>NON LIVRE</v>
      </c>
      <c r="AI55" s="1" t="str">
        <f t="shared" si="11"/>
        <v>NON LIVRE</v>
      </c>
      <c r="AJ55" s="1" t="str">
        <f t="shared" si="12"/>
        <v>NON LIVRE</v>
      </c>
      <c r="AK55" s="1" t="str">
        <f t="shared" si="13"/>
        <v>NON LIVRE</v>
      </c>
      <c r="AL55" s="1" t="str">
        <f t="shared" si="14"/>
        <v>NON LIVRE</v>
      </c>
      <c r="AM55" s="1" t="str">
        <f t="shared" si="15"/>
        <v>NON LIVRE</v>
      </c>
      <c r="AN55" s="1" t="str">
        <f t="shared" si="16"/>
        <v>NON LIVRE</v>
      </c>
      <c r="AO55" s="1" t="str">
        <f t="shared" si="21"/>
        <v>NON LIVRE</v>
      </c>
      <c r="AP55" s="1" t="str">
        <f t="shared" si="18"/>
        <v>NON LIVRE</v>
      </c>
      <c r="AQ55" s="1" t="str">
        <f t="shared" si="0"/>
        <v>NON LIVRE</v>
      </c>
      <c r="AR55" s="1" t="str">
        <f t="shared" si="19"/>
        <v>NON LIVRE</v>
      </c>
    </row>
    <row r="56" spans="1:44" x14ac:dyDescent="0.3">
      <c r="A56" s="1">
        <v>25127</v>
      </c>
      <c r="B56" s="1" t="s">
        <v>8</v>
      </c>
      <c r="C56" s="5" t="s">
        <v>8</v>
      </c>
      <c r="D56" s="4">
        <v>200</v>
      </c>
      <c r="E56" s="24">
        <f>_xlfn.XLOOKUP(A56,[1]PONCEBLANC!$Q:$Q,[1]PONCEBLANC!$J:$J,100,0)</f>
        <v>52000</v>
      </c>
      <c r="F56" s="2" t="s">
        <v>136</v>
      </c>
      <c r="G56" s="2">
        <v>45581</v>
      </c>
      <c r="H56" s="2">
        <v>45831</v>
      </c>
      <c r="Y56" s="1" t="str">
        <f t="shared" si="1"/>
        <v>DATE MANQUANTE</v>
      </c>
      <c r="Z56" s="1">
        <f t="shared" si="2"/>
        <v>178</v>
      </c>
      <c r="AA56" s="1" t="str">
        <f t="shared" si="3"/>
        <v>NON LIVRE</v>
      </c>
      <c r="AB56" s="1" t="str">
        <f t="shared" si="4"/>
        <v>NON LIVRE</v>
      </c>
      <c r="AC56" s="1" t="str">
        <f t="shared" si="5"/>
        <v>NON LIVRE</v>
      </c>
      <c r="AD56" s="1" t="str">
        <f t="shared" si="6"/>
        <v>NON LIVRE</v>
      </c>
      <c r="AE56" s="1" t="str">
        <f t="shared" si="7"/>
        <v>NON LIVRE</v>
      </c>
      <c r="AF56" s="1" t="str">
        <f t="shared" si="8"/>
        <v>NON LIVRE</v>
      </c>
      <c r="AG56" s="1" t="str">
        <f t="shared" si="9"/>
        <v>NON LIVRE</v>
      </c>
      <c r="AH56" s="1" t="str">
        <f t="shared" si="10"/>
        <v>NON LIVRE</v>
      </c>
      <c r="AI56" s="1" t="str">
        <f t="shared" si="11"/>
        <v>NON LIVRE</v>
      </c>
      <c r="AJ56" s="1" t="str">
        <f t="shared" si="12"/>
        <v>NON LIVRE</v>
      </c>
      <c r="AK56" s="1" t="str">
        <f t="shared" si="13"/>
        <v>NON LIVRE</v>
      </c>
      <c r="AL56" s="1" t="str">
        <f t="shared" si="14"/>
        <v>NON LIVRE</v>
      </c>
      <c r="AM56" s="1" t="str">
        <f t="shared" si="15"/>
        <v>NON LIVRE</v>
      </c>
      <c r="AN56" s="1" t="str">
        <f t="shared" si="16"/>
        <v>NON LIVRE</v>
      </c>
      <c r="AO56" s="1" t="str">
        <f t="shared" si="21"/>
        <v>NON LIVRE</v>
      </c>
      <c r="AP56" s="1" t="str">
        <f t="shared" si="18"/>
        <v>NON LIVRE</v>
      </c>
      <c r="AQ56" s="1" t="str">
        <f t="shared" si="0"/>
        <v>NON LIVRE</v>
      </c>
      <c r="AR56" s="1" t="str">
        <f t="shared" si="19"/>
        <v>NON LIVRE</v>
      </c>
    </row>
    <row r="57" spans="1:44" x14ac:dyDescent="0.3">
      <c r="A57" s="1">
        <v>25127</v>
      </c>
      <c r="B57" s="1" t="s">
        <v>8</v>
      </c>
      <c r="C57" s="5" t="s">
        <v>160</v>
      </c>
      <c r="D57" s="4">
        <v>800</v>
      </c>
      <c r="E57" s="24">
        <f>_xlfn.XLOOKUP(A57,[1]PONCEBLANC!$Q:$Q,[1]PONCEBLANC!$J:$J,100,0)</f>
        <v>52000</v>
      </c>
      <c r="F57" s="2" t="s">
        <v>165</v>
      </c>
      <c r="G57" s="2">
        <v>45581</v>
      </c>
      <c r="H57" s="2">
        <v>45831</v>
      </c>
      <c r="Y57" s="1" t="str">
        <f t="shared" si="1"/>
        <v>DATE MANQUANTE</v>
      </c>
      <c r="Z57" s="1">
        <f t="shared" si="2"/>
        <v>178</v>
      </c>
      <c r="AA57" s="1" t="str">
        <f t="shared" si="3"/>
        <v>NON LIVRE</v>
      </c>
      <c r="AB57" s="1" t="str">
        <f t="shared" si="4"/>
        <v>NON LIVRE</v>
      </c>
      <c r="AC57" s="1" t="str">
        <f t="shared" si="5"/>
        <v>NON LIVRE</v>
      </c>
      <c r="AD57" s="1" t="str">
        <f t="shared" si="6"/>
        <v>NON LIVRE</v>
      </c>
      <c r="AE57" s="1" t="str">
        <f t="shared" si="7"/>
        <v>NON LIVRE</v>
      </c>
      <c r="AF57" s="1" t="str">
        <f t="shared" si="8"/>
        <v>NON LIVRE</v>
      </c>
      <c r="AG57" s="1" t="str">
        <f t="shared" si="9"/>
        <v>NON LIVRE</v>
      </c>
      <c r="AH57" s="1" t="str">
        <f t="shared" si="10"/>
        <v>NON LIVRE</v>
      </c>
      <c r="AI57" s="1" t="str">
        <f t="shared" si="11"/>
        <v>NON LIVRE</v>
      </c>
      <c r="AJ57" s="1" t="str">
        <f t="shared" si="12"/>
        <v>NON LIVRE</v>
      </c>
      <c r="AK57" s="1" t="str">
        <f t="shared" si="13"/>
        <v>NON LIVRE</v>
      </c>
      <c r="AL57" s="1" t="str">
        <f t="shared" si="14"/>
        <v>NON LIVRE</v>
      </c>
      <c r="AM57" s="1" t="str">
        <f t="shared" si="15"/>
        <v>NON LIVRE</v>
      </c>
      <c r="AN57" s="1" t="str">
        <f t="shared" si="16"/>
        <v>NON LIVRE</v>
      </c>
      <c r="AO57" s="1" t="str">
        <f t="shared" si="21"/>
        <v>NON LIVRE</v>
      </c>
      <c r="AP57" s="1" t="str">
        <f t="shared" si="18"/>
        <v>NON LIVRE</v>
      </c>
      <c r="AQ57" s="1" t="str">
        <f t="shared" si="0"/>
        <v>NON LIVRE</v>
      </c>
      <c r="AR57" s="1" t="str">
        <f t="shared" si="19"/>
        <v>NON LIVRE</v>
      </c>
    </row>
    <row r="58" spans="1:44" x14ac:dyDescent="0.3">
      <c r="A58" s="1">
        <v>25128</v>
      </c>
      <c r="B58" s="1" t="s">
        <v>62</v>
      </c>
      <c r="C58" s="3" t="s">
        <v>166</v>
      </c>
      <c r="D58" s="4" t="s">
        <v>63</v>
      </c>
      <c r="E58" s="24">
        <f>_xlfn.XLOOKUP(A58,[1]PONCEBLANC!$Q:$Q,[1]PONCEBLANC!$J:$J,100,0)</f>
        <v>73186</v>
      </c>
      <c r="F58" s="2" t="s">
        <v>133</v>
      </c>
      <c r="G58" s="2">
        <v>45825</v>
      </c>
      <c r="H58" s="2">
        <v>45832</v>
      </c>
      <c r="I58" s="2">
        <v>45833</v>
      </c>
      <c r="J58" s="2">
        <v>45849</v>
      </c>
      <c r="K58" s="2">
        <v>45846</v>
      </c>
      <c r="L58" s="2" t="s">
        <v>315</v>
      </c>
      <c r="M58" s="2">
        <v>45873</v>
      </c>
      <c r="N58" s="2">
        <v>45871</v>
      </c>
      <c r="O58" s="2">
        <v>45875</v>
      </c>
      <c r="P58" s="2">
        <v>45889</v>
      </c>
      <c r="Q58" s="2">
        <v>45876</v>
      </c>
      <c r="R58" s="2">
        <v>45919</v>
      </c>
      <c r="S58" s="2">
        <v>45919</v>
      </c>
      <c r="T58" s="2">
        <v>45947</v>
      </c>
      <c r="U58" s="1">
        <v>5</v>
      </c>
      <c r="Y58" s="1">
        <f t="shared" si="1"/>
        <v>88</v>
      </c>
      <c r="Z58" s="1">
        <f t="shared" si="2"/>
        <v>5</v>
      </c>
      <c r="AA58" s="1">
        <f t="shared" si="3"/>
        <v>83</v>
      </c>
      <c r="AB58" s="1">
        <f t="shared" si="4"/>
        <v>63</v>
      </c>
      <c r="AC58" s="1">
        <f t="shared" si="5"/>
        <v>0</v>
      </c>
      <c r="AD58" s="1">
        <f t="shared" si="6"/>
        <v>41</v>
      </c>
      <c r="AE58" s="1">
        <f t="shared" si="7"/>
        <v>1</v>
      </c>
      <c r="AF58" s="1">
        <f t="shared" si="8"/>
        <v>12</v>
      </c>
      <c r="AG58" s="1">
        <f t="shared" si="9"/>
        <v>28</v>
      </c>
      <c r="AH58" s="1">
        <f t="shared" si="10"/>
        <v>32</v>
      </c>
      <c r="AI58" s="1">
        <f t="shared" si="11"/>
        <v>28</v>
      </c>
      <c r="AJ58" s="1">
        <f t="shared" si="12"/>
        <v>29</v>
      </c>
      <c r="AK58" s="1">
        <f t="shared" si="13"/>
        <v>31</v>
      </c>
      <c r="AL58" s="1">
        <f t="shared" si="14"/>
        <v>10</v>
      </c>
      <c r="AM58" s="1" t="str">
        <f t="shared" si="15"/>
        <v>ANC FAB</v>
      </c>
      <c r="AN58" s="1">
        <f t="shared" si="16"/>
        <v>18</v>
      </c>
      <c r="AO58" s="1">
        <f t="shared" si="21"/>
        <v>3</v>
      </c>
      <c r="AP58" s="1">
        <f t="shared" si="18"/>
        <v>9</v>
      </c>
      <c r="AQ58" s="1">
        <f t="shared" si="0"/>
        <v>22</v>
      </c>
      <c r="AR58" s="1">
        <f t="shared" si="19"/>
        <v>20</v>
      </c>
    </row>
    <row r="59" spans="1:44" x14ac:dyDescent="0.3">
      <c r="A59" s="1">
        <v>25128</v>
      </c>
      <c r="B59" s="1" t="s">
        <v>62</v>
      </c>
      <c r="C59" s="3" t="s">
        <v>170</v>
      </c>
      <c r="D59" s="4" t="s">
        <v>64</v>
      </c>
      <c r="E59" s="24">
        <f>_xlfn.XLOOKUP(A59,[1]PONCEBLANC!$Q:$Q,[1]PONCEBLANC!$J:$J,100,0)</f>
        <v>73186</v>
      </c>
      <c r="F59" s="2" t="s">
        <v>133</v>
      </c>
      <c r="G59" s="2">
        <v>45825</v>
      </c>
      <c r="H59" s="2">
        <v>45832</v>
      </c>
      <c r="I59" s="2">
        <v>45833</v>
      </c>
      <c r="J59" s="2">
        <v>45849</v>
      </c>
      <c r="K59" s="2">
        <v>45846</v>
      </c>
      <c r="L59" s="2" t="s">
        <v>315</v>
      </c>
      <c r="M59" s="2">
        <v>45873</v>
      </c>
      <c r="N59" s="2">
        <v>45874</v>
      </c>
      <c r="O59" s="2">
        <v>45875</v>
      </c>
      <c r="P59" s="2">
        <v>45889</v>
      </c>
      <c r="Q59" s="2">
        <v>45882</v>
      </c>
      <c r="R59" s="2">
        <v>45919</v>
      </c>
      <c r="S59" s="2">
        <v>45919</v>
      </c>
      <c r="T59" s="2">
        <v>45933</v>
      </c>
      <c r="U59" s="1">
        <v>2</v>
      </c>
      <c r="Y59" s="1">
        <f t="shared" si="1"/>
        <v>78</v>
      </c>
      <c r="Z59" s="1">
        <f t="shared" si="2"/>
        <v>5</v>
      </c>
      <c r="AA59" s="1">
        <f t="shared" si="3"/>
        <v>73</v>
      </c>
      <c r="AB59" s="1">
        <f t="shared" si="4"/>
        <v>63</v>
      </c>
      <c r="AC59" s="1">
        <f t="shared" si="5"/>
        <v>0</v>
      </c>
      <c r="AD59" s="1">
        <f t="shared" si="6"/>
        <v>41</v>
      </c>
      <c r="AE59" s="1">
        <f t="shared" si="7"/>
        <v>1</v>
      </c>
      <c r="AF59" s="1">
        <f t="shared" si="8"/>
        <v>12</v>
      </c>
      <c r="AG59" s="1">
        <f t="shared" si="9"/>
        <v>28</v>
      </c>
      <c r="AH59" s="1">
        <f t="shared" si="10"/>
        <v>36</v>
      </c>
      <c r="AI59" s="1">
        <f t="shared" si="11"/>
        <v>30</v>
      </c>
      <c r="AJ59" s="1">
        <f t="shared" si="12"/>
        <v>29</v>
      </c>
      <c r="AK59" s="1">
        <f t="shared" si="13"/>
        <v>31</v>
      </c>
      <c r="AL59" s="1">
        <f t="shared" si="14"/>
        <v>10</v>
      </c>
      <c r="AM59" s="1" t="str">
        <f t="shared" si="15"/>
        <v>ANC FAB</v>
      </c>
      <c r="AN59" s="1">
        <f t="shared" si="16"/>
        <v>20</v>
      </c>
      <c r="AO59" s="1">
        <f t="shared" si="21"/>
        <v>6</v>
      </c>
      <c r="AP59" s="1">
        <f t="shared" si="18"/>
        <v>5</v>
      </c>
      <c r="AQ59" s="1">
        <f t="shared" si="0"/>
        <v>22</v>
      </c>
      <c r="AR59" s="1">
        <f t="shared" si="19"/>
        <v>10</v>
      </c>
    </row>
    <row r="60" spans="1:44" x14ac:dyDescent="0.3">
      <c r="A60" s="1">
        <v>25128</v>
      </c>
      <c r="B60" s="1" t="s">
        <v>62</v>
      </c>
      <c r="C60" s="3" t="s">
        <v>167</v>
      </c>
      <c r="D60" s="4" t="s">
        <v>65</v>
      </c>
      <c r="E60" s="24">
        <f>_xlfn.XLOOKUP(A60,[1]PONCEBLANC!$Q:$Q,[1]PONCEBLANC!$J:$J,100,0)</f>
        <v>73186</v>
      </c>
      <c r="F60" s="2" t="s">
        <v>133</v>
      </c>
      <c r="G60" s="2">
        <v>45825</v>
      </c>
      <c r="H60" s="2">
        <v>45832</v>
      </c>
      <c r="Y60" s="1" t="str">
        <f t="shared" si="1"/>
        <v>DATE MANQUANTE</v>
      </c>
      <c r="Z60" s="1">
        <f t="shared" si="2"/>
        <v>5</v>
      </c>
      <c r="AA60" s="1" t="str">
        <f t="shared" si="3"/>
        <v>NON LIVRE</v>
      </c>
      <c r="AB60" s="1" t="str">
        <f t="shared" si="4"/>
        <v>NON LIVRE</v>
      </c>
      <c r="AC60" s="1" t="str">
        <f t="shared" si="5"/>
        <v>NON LIVRE</v>
      </c>
      <c r="AD60" s="1" t="str">
        <f t="shared" si="6"/>
        <v>NON LIVRE</v>
      </c>
      <c r="AE60" s="1" t="str">
        <f t="shared" si="7"/>
        <v>NON LIVRE</v>
      </c>
      <c r="AF60" s="1" t="str">
        <f t="shared" si="8"/>
        <v>NON LIVRE</v>
      </c>
      <c r="AG60" s="1" t="str">
        <f t="shared" si="9"/>
        <v>NON LIVRE</v>
      </c>
      <c r="AH60" s="1" t="str">
        <f t="shared" si="10"/>
        <v>NON LIVRE</v>
      </c>
      <c r="AI60" s="1" t="str">
        <f t="shared" si="11"/>
        <v>NON LIVRE</v>
      </c>
      <c r="AJ60" s="1" t="str">
        <f t="shared" si="12"/>
        <v>NON LIVRE</v>
      </c>
      <c r="AK60" s="1" t="str">
        <f t="shared" si="13"/>
        <v>NON LIVRE</v>
      </c>
      <c r="AL60" s="1" t="str">
        <f t="shared" si="14"/>
        <v>NON LIVRE</v>
      </c>
      <c r="AM60" s="1" t="str">
        <f t="shared" si="15"/>
        <v>NON LIVRE</v>
      </c>
      <c r="AN60" s="1" t="str">
        <f t="shared" si="16"/>
        <v>NON LIVRE</v>
      </c>
      <c r="AO60" s="1" t="str">
        <f t="shared" si="21"/>
        <v>NON LIVRE</v>
      </c>
      <c r="AP60" s="1" t="str">
        <f t="shared" si="18"/>
        <v>NON LIVRE</v>
      </c>
      <c r="AQ60" s="1" t="str">
        <f t="shared" si="0"/>
        <v>NON LIVRE</v>
      </c>
      <c r="AR60" s="1" t="str">
        <f t="shared" si="19"/>
        <v>NON LIVRE</v>
      </c>
    </row>
    <row r="61" spans="1:44" x14ac:dyDescent="0.3">
      <c r="A61" s="1">
        <v>25128</v>
      </c>
      <c r="B61" s="1" t="s">
        <v>62</v>
      </c>
      <c r="C61" s="3" t="s">
        <v>168</v>
      </c>
      <c r="D61" s="4" t="s">
        <v>66</v>
      </c>
      <c r="E61" s="24">
        <f>_xlfn.XLOOKUP(A61,[1]PONCEBLANC!$Q:$Q,[1]PONCEBLANC!$J:$J,100,0)</f>
        <v>73186</v>
      </c>
      <c r="F61" s="2" t="s">
        <v>133</v>
      </c>
      <c r="G61" s="2">
        <v>45825</v>
      </c>
      <c r="H61" s="2">
        <v>45832</v>
      </c>
      <c r="Y61" s="1" t="str">
        <f t="shared" si="1"/>
        <v>DATE MANQUANTE</v>
      </c>
      <c r="Z61" s="1">
        <f t="shared" si="2"/>
        <v>5</v>
      </c>
      <c r="AA61" s="1" t="str">
        <f t="shared" si="3"/>
        <v>NON LIVRE</v>
      </c>
      <c r="AB61" s="1" t="str">
        <f t="shared" si="4"/>
        <v>NON LIVRE</v>
      </c>
      <c r="AC61" s="1" t="str">
        <f t="shared" si="5"/>
        <v>NON LIVRE</v>
      </c>
      <c r="AD61" s="1" t="str">
        <f t="shared" si="6"/>
        <v>NON LIVRE</v>
      </c>
      <c r="AE61" s="1" t="str">
        <f t="shared" si="7"/>
        <v>NON LIVRE</v>
      </c>
      <c r="AF61" s="1" t="str">
        <f t="shared" si="8"/>
        <v>NON LIVRE</v>
      </c>
      <c r="AG61" s="1" t="str">
        <f t="shared" si="9"/>
        <v>NON LIVRE</v>
      </c>
      <c r="AH61" s="1" t="str">
        <f t="shared" si="10"/>
        <v>NON LIVRE</v>
      </c>
      <c r="AI61" s="1" t="str">
        <f t="shared" si="11"/>
        <v>NON LIVRE</v>
      </c>
      <c r="AJ61" s="1" t="str">
        <f t="shared" si="12"/>
        <v>NON LIVRE</v>
      </c>
      <c r="AK61" s="1" t="str">
        <f t="shared" si="13"/>
        <v>NON LIVRE</v>
      </c>
      <c r="AL61" s="1" t="str">
        <f t="shared" si="14"/>
        <v>NON LIVRE</v>
      </c>
      <c r="AM61" s="1" t="str">
        <f t="shared" si="15"/>
        <v>NON LIVRE</v>
      </c>
      <c r="AN61" s="1" t="str">
        <f t="shared" si="16"/>
        <v>NON LIVRE</v>
      </c>
      <c r="AO61" s="1" t="str">
        <f t="shared" si="21"/>
        <v>NON LIVRE</v>
      </c>
      <c r="AP61" s="1" t="str">
        <f t="shared" si="18"/>
        <v>NON LIVRE</v>
      </c>
      <c r="AQ61" s="1" t="str">
        <f t="shared" si="0"/>
        <v>NON LIVRE</v>
      </c>
      <c r="AR61" s="1" t="str">
        <f t="shared" si="19"/>
        <v>NON LIVRE</v>
      </c>
    </row>
    <row r="62" spans="1:44" x14ac:dyDescent="0.3">
      <c r="A62" s="1">
        <v>25128</v>
      </c>
      <c r="B62" s="1" t="s">
        <v>62</v>
      </c>
      <c r="C62" s="3" t="s">
        <v>169</v>
      </c>
      <c r="D62" s="4" t="s">
        <v>67</v>
      </c>
      <c r="E62" s="24">
        <f>_xlfn.XLOOKUP(A62,[1]PONCEBLANC!$Q:$Q,[1]PONCEBLANC!$J:$J,100,0)</f>
        <v>73186</v>
      </c>
      <c r="F62" s="2" t="s">
        <v>133</v>
      </c>
      <c r="G62" s="2">
        <v>45825</v>
      </c>
      <c r="H62" s="2">
        <v>45832</v>
      </c>
      <c r="Y62" s="1" t="str">
        <f t="shared" si="1"/>
        <v>DATE MANQUANTE</v>
      </c>
      <c r="Z62" s="1">
        <f t="shared" si="2"/>
        <v>5</v>
      </c>
      <c r="AA62" s="1" t="str">
        <f t="shared" si="3"/>
        <v>NON LIVRE</v>
      </c>
      <c r="AB62" s="1" t="str">
        <f t="shared" si="4"/>
        <v>NON LIVRE</v>
      </c>
      <c r="AC62" s="1" t="str">
        <f t="shared" si="5"/>
        <v>NON LIVRE</v>
      </c>
      <c r="AD62" s="1" t="str">
        <f t="shared" si="6"/>
        <v>NON LIVRE</v>
      </c>
      <c r="AE62" s="1" t="str">
        <f t="shared" si="7"/>
        <v>NON LIVRE</v>
      </c>
      <c r="AF62" s="1" t="str">
        <f t="shared" si="8"/>
        <v>NON LIVRE</v>
      </c>
      <c r="AG62" s="1" t="str">
        <f t="shared" si="9"/>
        <v>NON LIVRE</v>
      </c>
      <c r="AH62" s="1" t="str">
        <f t="shared" si="10"/>
        <v>NON LIVRE</v>
      </c>
      <c r="AI62" s="1" t="str">
        <f t="shared" si="11"/>
        <v>NON LIVRE</v>
      </c>
      <c r="AJ62" s="1" t="str">
        <f t="shared" si="12"/>
        <v>NON LIVRE</v>
      </c>
      <c r="AK62" s="1" t="str">
        <f t="shared" si="13"/>
        <v>NON LIVRE</v>
      </c>
      <c r="AL62" s="1" t="str">
        <f t="shared" si="14"/>
        <v>NON LIVRE</v>
      </c>
      <c r="AM62" s="1" t="str">
        <f t="shared" si="15"/>
        <v>NON LIVRE</v>
      </c>
      <c r="AN62" s="1" t="str">
        <f t="shared" si="16"/>
        <v>NON LIVRE</v>
      </c>
      <c r="AO62" s="1" t="str">
        <f t="shared" si="21"/>
        <v>NON LIVRE</v>
      </c>
      <c r="AP62" s="1" t="str">
        <f t="shared" si="18"/>
        <v>NON LIVRE</v>
      </c>
      <c r="AQ62" s="1" t="str">
        <f t="shared" si="0"/>
        <v>NON LIVRE</v>
      </c>
      <c r="AR62" s="1" t="str">
        <f t="shared" si="19"/>
        <v>NON LIVRE</v>
      </c>
    </row>
    <row r="63" spans="1:44" x14ac:dyDescent="0.3">
      <c r="A63" s="1">
        <v>25129</v>
      </c>
      <c r="B63" s="1" t="s">
        <v>62</v>
      </c>
      <c r="C63" s="3" t="s">
        <v>171</v>
      </c>
      <c r="D63" s="4" t="s">
        <v>68</v>
      </c>
      <c r="E63" s="24">
        <f>_xlfn.XLOOKUP(A63,[1]PONCEBLANC!$Q:$Q,[1]PONCEBLANC!$J:$J,100,0)</f>
        <v>65586</v>
      </c>
      <c r="F63" s="2" t="s">
        <v>133</v>
      </c>
      <c r="G63" s="2">
        <v>45824</v>
      </c>
      <c r="H63" s="2">
        <v>45832</v>
      </c>
      <c r="I63" s="2">
        <v>45833</v>
      </c>
      <c r="J63" s="2">
        <v>45904</v>
      </c>
      <c r="K63" s="2">
        <v>45847</v>
      </c>
      <c r="L63" s="2" t="s">
        <v>315</v>
      </c>
      <c r="M63" s="2">
        <v>45860</v>
      </c>
      <c r="N63" s="2">
        <v>45875</v>
      </c>
      <c r="O63" s="2">
        <v>45875</v>
      </c>
      <c r="P63" s="2">
        <v>45905</v>
      </c>
      <c r="Q63" s="2">
        <v>45882</v>
      </c>
      <c r="R63" s="2">
        <v>45926</v>
      </c>
      <c r="S63" s="2">
        <v>45926</v>
      </c>
      <c r="T63" s="2">
        <v>45940</v>
      </c>
      <c r="U63" s="1">
        <v>3</v>
      </c>
      <c r="Y63" s="1">
        <f t="shared" si="1"/>
        <v>84</v>
      </c>
      <c r="Z63" s="1">
        <f t="shared" si="2"/>
        <v>6</v>
      </c>
      <c r="AA63" s="1">
        <f t="shared" ref="AA63:AA126" si="22">IF($T63="","NON LIVRE",NETWORKDAYS($H63,$T63)-1)</f>
        <v>78</v>
      </c>
      <c r="AB63" s="1">
        <f t="shared" ref="AB63:AB126" si="23">IF($S63="","NON LIVRE",NETWORKDAYS($H63,$S63)-1)</f>
        <v>68</v>
      </c>
      <c r="AC63" s="1">
        <f t="shared" ref="AC63:AC126" si="24">IF($S63="","NON LIVRE",NETWORKDAYS($R63,$S63)-1)</f>
        <v>0</v>
      </c>
      <c r="AD63" s="1">
        <f t="shared" si="6"/>
        <v>53</v>
      </c>
      <c r="AE63" s="1">
        <f t="shared" ref="AE63:AE126" si="25">IFERROR(IF($T63="","NON LIVRE",IF($I63="","PAS DE COMMANDE MATIERE",NETWORKDAYS($H63,$I63)-1)),$I63)</f>
        <v>1</v>
      </c>
      <c r="AF63" s="1">
        <f t="shared" si="8"/>
        <v>51</v>
      </c>
      <c r="AG63" s="1">
        <f t="shared" si="9"/>
        <v>1</v>
      </c>
      <c r="AH63" s="1">
        <f t="shared" ref="AH63:AH126" si="26">IFERROR(IF($T63="","NON LIVRE",IF($Q63="","PAS DE DEPART TIRAGES OU ACHATS",NETWORKDAYS($H63,$Q63)-1)),$Q63)</f>
        <v>36</v>
      </c>
      <c r="AI63" s="1">
        <f t="shared" si="11"/>
        <v>31</v>
      </c>
      <c r="AJ63" s="1">
        <f t="shared" si="12"/>
        <v>20</v>
      </c>
      <c r="AK63" s="1">
        <f t="shared" si="13"/>
        <v>31</v>
      </c>
      <c r="AL63" s="1">
        <f t="shared" si="14"/>
        <v>11</v>
      </c>
      <c r="AM63" s="1" t="str">
        <f t="shared" si="15"/>
        <v>ANC FAB</v>
      </c>
      <c r="AN63" s="1">
        <f t="shared" si="16"/>
        <v>20</v>
      </c>
      <c r="AO63" s="1">
        <f t="shared" si="21"/>
        <v>5</v>
      </c>
      <c r="AP63" s="1">
        <f t="shared" si="18"/>
        <v>17</v>
      </c>
      <c r="AQ63" s="1">
        <f t="shared" si="0"/>
        <v>15</v>
      </c>
      <c r="AR63" s="1">
        <f t="shared" si="19"/>
        <v>10</v>
      </c>
    </row>
    <row r="64" spans="1:44" x14ac:dyDescent="0.3">
      <c r="A64" s="1">
        <v>25129</v>
      </c>
      <c r="B64" s="1" t="s">
        <v>62</v>
      </c>
      <c r="C64" s="3" t="s">
        <v>172</v>
      </c>
      <c r="D64" s="4" t="s">
        <v>69</v>
      </c>
      <c r="E64" s="24">
        <f>_xlfn.XLOOKUP(A64,[1]PONCEBLANC!$Q:$Q,[1]PONCEBLANC!$J:$J,100,0)</f>
        <v>65586</v>
      </c>
      <c r="F64" s="2" t="s">
        <v>133</v>
      </c>
      <c r="G64" s="2">
        <v>45824</v>
      </c>
      <c r="H64" s="2">
        <v>45832</v>
      </c>
      <c r="Y64" s="1" t="str">
        <f t="shared" si="1"/>
        <v>DATE MANQUANTE</v>
      </c>
      <c r="Z64" s="1">
        <f t="shared" si="2"/>
        <v>6</v>
      </c>
      <c r="AA64" s="1" t="str">
        <f t="shared" si="22"/>
        <v>NON LIVRE</v>
      </c>
      <c r="AB64" s="1" t="str">
        <f t="shared" si="23"/>
        <v>NON LIVRE</v>
      </c>
      <c r="AC64" s="1" t="str">
        <f t="shared" si="24"/>
        <v>NON LIVRE</v>
      </c>
      <c r="AD64" s="1" t="str">
        <f t="shared" si="6"/>
        <v>NON LIVRE</v>
      </c>
      <c r="AE64" s="1" t="str">
        <f t="shared" si="25"/>
        <v>NON LIVRE</v>
      </c>
      <c r="AF64" s="1" t="str">
        <f t="shared" si="8"/>
        <v>NON LIVRE</v>
      </c>
      <c r="AG64" s="1" t="str">
        <f t="shared" si="9"/>
        <v>NON LIVRE</v>
      </c>
      <c r="AH64" s="1" t="str">
        <f t="shared" si="26"/>
        <v>NON LIVRE</v>
      </c>
      <c r="AI64" s="1" t="str">
        <f t="shared" si="11"/>
        <v>NON LIVRE</v>
      </c>
      <c r="AJ64" s="1" t="str">
        <f t="shared" si="12"/>
        <v>NON LIVRE</v>
      </c>
      <c r="AK64" s="1" t="str">
        <f t="shared" si="13"/>
        <v>NON LIVRE</v>
      </c>
      <c r="AL64" s="1" t="str">
        <f t="shared" si="14"/>
        <v>NON LIVRE</v>
      </c>
      <c r="AM64" s="1" t="str">
        <f t="shared" si="15"/>
        <v>NON LIVRE</v>
      </c>
      <c r="AN64" s="1" t="str">
        <f t="shared" si="16"/>
        <v>NON LIVRE</v>
      </c>
      <c r="AO64" s="1" t="str">
        <f t="shared" si="21"/>
        <v>NON LIVRE</v>
      </c>
      <c r="AP64" s="1" t="str">
        <f t="shared" si="18"/>
        <v>NON LIVRE</v>
      </c>
      <c r="AQ64" s="1" t="str">
        <f t="shared" si="0"/>
        <v>NON LIVRE</v>
      </c>
      <c r="AR64" s="1" t="str">
        <f t="shared" si="19"/>
        <v>NON LIVRE</v>
      </c>
    </row>
    <row r="65" spans="1:44" x14ac:dyDescent="0.3">
      <c r="A65" s="1">
        <v>25129</v>
      </c>
      <c r="B65" s="1" t="s">
        <v>62</v>
      </c>
      <c r="C65" s="3" t="s">
        <v>173</v>
      </c>
      <c r="D65" s="4" t="s">
        <v>70</v>
      </c>
      <c r="E65" s="24">
        <f>_xlfn.XLOOKUP(A65,[1]PONCEBLANC!$Q:$Q,[1]PONCEBLANC!$J:$J,100,0)</f>
        <v>65586</v>
      </c>
      <c r="F65" s="2" t="s">
        <v>133</v>
      </c>
      <c r="G65" s="2">
        <v>45824</v>
      </c>
      <c r="H65" s="2">
        <v>45832</v>
      </c>
      <c r="Y65" s="1" t="str">
        <f t="shared" si="1"/>
        <v>DATE MANQUANTE</v>
      </c>
      <c r="Z65" s="1">
        <f t="shared" si="2"/>
        <v>6</v>
      </c>
      <c r="AA65" s="1" t="str">
        <f t="shared" si="22"/>
        <v>NON LIVRE</v>
      </c>
      <c r="AB65" s="1" t="str">
        <f t="shared" si="23"/>
        <v>NON LIVRE</v>
      </c>
      <c r="AC65" s="1" t="str">
        <f t="shared" si="24"/>
        <v>NON LIVRE</v>
      </c>
      <c r="AD65" s="1" t="str">
        <f t="shared" si="6"/>
        <v>NON LIVRE</v>
      </c>
      <c r="AE65" s="1" t="str">
        <f t="shared" si="25"/>
        <v>NON LIVRE</v>
      </c>
      <c r="AF65" s="1" t="str">
        <f t="shared" si="8"/>
        <v>NON LIVRE</v>
      </c>
      <c r="AG65" s="1" t="str">
        <f t="shared" si="9"/>
        <v>NON LIVRE</v>
      </c>
      <c r="AH65" s="1" t="str">
        <f t="shared" si="26"/>
        <v>NON LIVRE</v>
      </c>
      <c r="AI65" s="1" t="str">
        <f t="shared" si="11"/>
        <v>NON LIVRE</v>
      </c>
      <c r="AJ65" s="1" t="str">
        <f t="shared" si="12"/>
        <v>NON LIVRE</v>
      </c>
      <c r="AK65" s="1" t="str">
        <f t="shared" si="13"/>
        <v>NON LIVRE</v>
      </c>
      <c r="AL65" s="1" t="str">
        <f t="shared" si="14"/>
        <v>NON LIVRE</v>
      </c>
      <c r="AM65" s="1" t="str">
        <f t="shared" si="15"/>
        <v>NON LIVRE</v>
      </c>
      <c r="AN65" s="1" t="str">
        <f t="shared" si="16"/>
        <v>NON LIVRE</v>
      </c>
      <c r="AO65" s="1" t="str">
        <f t="shared" si="21"/>
        <v>NON LIVRE</v>
      </c>
      <c r="AP65" s="1" t="str">
        <f t="shared" si="18"/>
        <v>NON LIVRE</v>
      </c>
      <c r="AQ65" s="1" t="str">
        <f t="shared" si="0"/>
        <v>NON LIVRE</v>
      </c>
      <c r="AR65" s="1" t="str">
        <f t="shared" si="19"/>
        <v>NON LIVRE</v>
      </c>
    </row>
    <row r="66" spans="1:44" x14ac:dyDescent="0.3">
      <c r="A66" s="1">
        <v>25129</v>
      </c>
      <c r="B66" s="1" t="s">
        <v>62</v>
      </c>
      <c r="C66" s="3" t="s">
        <v>175</v>
      </c>
      <c r="D66" s="4" t="s">
        <v>71</v>
      </c>
      <c r="E66" s="24">
        <f>_xlfn.XLOOKUP(A66,[1]PONCEBLANC!$Q:$Q,[1]PONCEBLANC!$J:$J,100,0)</f>
        <v>65586</v>
      </c>
      <c r="F66" s="2" t="s">
        <v>133</v>
      </c>
      <c r="G66" s="2">
        <v>45824</v>
      </c>
      <c r="H66" s="2">
        <v>45832</v>
      </c>
      <c r="Y66" s="1" t="str">
        <f t="shared" si="1"/>
        <v>DATE MANQUANTE</v>
      </c>
      <c r="Z66" s="1">
        <f t="shared" si="2"/>
        <v>6</v>
      </c>
      <c r="AA66" s="1" t="str">
        <f t="shared" si="22"/>
        <v>NON LIVRE</v>
      </c>
      <c r="AB66" s="1" t="str">
        <f t="shared" si="23"/>
        <v>NON LIVRE</v>
      </c>
      <c r="AC66" s="1" t="str">
        <f t="shared" si="24"/>
        <v>NON LIVRE</v>
      </c>
      <c r="AD66" s="1" t="str">
        <f t="shared" si="6"/>
        <v>NON LIVRE</v>
      </c>
      <c r="AE66" s="1" t="str">
        <f t="shared" si="25"/>
        <v>NON LIVRE</v>
      </c>
      <c r="AF66" s="1" t="str">
        <f t="shared" si="8"/>
        <v>NON LIVRE</v>
      </c>
      <c r="AG66" s="1" t="str">
        <f t="shared" si="9"/>
        <v>NON LIVRE</v>
      </c>
      <c r="AH66" s="1" t="str">
        <f t="shared" si="26"/>
        <v>NON LIVRE</v>
      </c>
      <c r="AI66" s="1" t="str">
        <f t="shared" si="11"/>
        <v>NON LIVRE</v>
      </c>
      <c r="AJ66" s="1" t="str">
        <f t="shared" si="12"/>
        <v>NON LIVRE</v>
      </c>
      <c r="AK66" s="1" t="str">
        <f t="shared" si="13"/>
        <v>NON LIVRE</v>
      </c>
      <c r="AL66" s="1" t="str">
        <f t="shared" si="14"/>
        <v>NON LIVRE</v>
      </c>
      <c r="AM66" s="1" t="str">
        <f t="shared" si="15"/>
        <v>NON LIVRE</v>
      </c>
      <c r="AN66" s="1" t="str">
        <f t="shared" si="16"/>
        <v>NON LIVRE</v>
      </c>
      <c r="AO66" s="1" t="str">
        <f t="shared" si="21"/>
        <v>NON LIVRE</v>
      </c>
      <c r="AP66" s="1" t="str">
        <f t="shared" si="18"/>
        <v>NON LIVRE</v>
      </c>
      <c r="AQ66" s="1" t="str">
        <f t="shared" ref="AQ66:AQ129" si="27">IFERROR(IF($T66="","NON LIVRE",IF(MAX($P66,$Q66)=0,"PAS D'EXPEDITION DE MATIERE, D'IMPRESSION, OU D'ACHAT",NETWORKDAYS(MAX($P66,$Q66),$S66)-1)),"PAS D'EXPEDITION DE MATIERE, D'IMPRESSION, OU D'ACHAT")</f>
        <v>NON LIVRE</v>
      </c>
      <c r="AR66" s="1" t="str">
        <f t="shared" si="19"/>
        <v>NON LIVRE</v>
      </c>
    </row>
    <row r="67" spans="1:44" x14ac:dyDescent="0.3">
      <c r="A67" s="1">
        <v>25129</v>
      </c>
      <c r="B67" s="1" t="s">
        <v>62</v>
      </c>
      <c r="C67" s="3" t="s">
        <v>174</v>
      </c>
      <c r="D67" s="4" t="s">
        <v>72</v>
      </c>
      <c r="E67" s="24">
        <f>_xlfn.XLOOKUP(A67,[1]PONCEBLANC!$Q:$Q,[1]PONCEBLANC!$J:$J,100,0)</f>
        <v>65586</v>
      </c>
      <c r="F67" s="2" t="s">
        <v>133</v>
      </c>
      <c r="G67" s="2">
        <v>45824</v>
      </c>
      <c r="H67" s="2">
        <v>45832</v>
      </c>
      <c r="Y67" s="1" t="str">
        <f t="shared" ref="Y67:Y130" si="28">IF(OR($T67="",$G67=""),"DATE MANQUANTE",NETWORKDAYS($G67,$T67)-1)</f>
        <v>DATE MANQUANTE</v>
      </c>
      <c r="Z67" s="1">
        <f t="shared" ref="Z67:Z130" si="29">IF(OR($H67="",$G67=""),"DATE MANQUANTE",NETWORKDAYS($G67,$H67)-1)</f>
        <v>6</v>
      </c>
      <c r="AA67" s="1" t="str">
        <f t="shared" si="22"/>
        <v>NON LIVRE</v>
      </c>
      <c r="AB67" s="1" t="str">
        <f t="shared" si="23"/>
        <v>NON LIVRE</v>
      </c>
      <c r="AC67" s="1" t="str">
        <f t="shared" si="24"/>
        <v>NON LIVRE</v>
      </c>
      <c r="AD67" s="1" t="str">
        <f t="shared" ref="AD67:AD130" si="30">IFERROR(IF($T67="","NON LIVRE",IF($P67="","PAS DE DEPART MATIERE",NETWORKDAYS($H67,$P67)-1)),$P67)</f>
        <v>NON LIVRE</v>
      </c>
      <c r="AE67" s="1" t="str">
        <f t="shared" si="25"/>
        <v>NON LIVRE</v>
      </c>
      <c r="AF67" s="1" t="str">
        <f t="shared" ref="AF67:AF130" si="31">IFERROR(IF($T67="","NON LIVRE",IF($J67="","PAS DE COMMANDE MATIERE",NETWORKDAYS($I67,$J67)-1)),$J67)</f>
        <v>NON LIVRE</v>
      </c>
      <c r="AG67" s="1" t="str">
        <f t="shared" ref="AG67:AG130" si="32">IFERROR(IF($T67="","NON LIVRE",IF($P67="","PAS DE COMMANDE MATIERE",NETWORKDAYS($J67,$P67)-1)),$P67)</f>
        <v>NON LIVRE</v>
      </c>
      <c r="AH67" s="1" t="str">
        <f t="shared" si="26"/>
        <v>NON LIVRE</v>
      </c>
      <c r="AI67" s="1" t="str">
        <f t="shared" ref="AI67:AI130" si="33">IFERROR(IF($T67="","NON LIVRE",IF($N67="","PAS DE DATE IMPRESSION",NETWORKDAYS($H67,$N67)-1)),$N67)</f>
        <v>NON LIVRE</v>
      </c>
      <c r="AJ67" s="1" t="str">
        <f t="shared" ref="AJ67:AJ130" si="34">IFERROR(IF($T67="","NON LIVRE",IF($M67="","PAS DE DATE PAPIER",NETWORKDAYS($H67,$M67)-1)),$M67)</f>
        <v>NON LIVRE</v>
      </c>
      <c r="AK67" s="1" t="str">
        <f t="shared" ref="AK67:AK130" si="35">IFERROR(IF($T67="","NON LIVRE",IF($O67="","PAS DE DATE CARTON",NETWORKDAYS($H67,$O67)-1)),$O67)</f>
        <v>NON LIVRE</v>
      </c>
      <c r="AL67" s="1" t="str">
        <f t="shared" ref="AL67:AL130" si="36">IFERROR(IF($T67="","NON LIVRE",IF($K67="","PAS DE DATE FICHIER",NETWORKDAYS($H67,$K67)-1)),$K67)</f>
        <v>NON LIVRE</v>
      </c>
      <c r="AM67" s="1" t="str">
        <f t="shared" ref="AM67:AM130" si="37">IFERROR(IF($T67="","NON LIVRE",IF($L67="","PAS DE DATE VALIDATION MODELE CLIENT",NETWORKDAYS($H67,$L67)-1)),$L67)</f>
        <v>NON LIVRE</v>
      </c>
      <c r="AN67" s="1" t="str">
        <f t="shared" ref="AN67:AN130" si="38">IFERROR(IF($T67="","NON LIVRE",IF($N67="","PAS DE DATE IMPRESSION",NETWORKDAYS(MAX($K67,$L67),$N67)-1)),$N67)</f>
        <v>NON LIVRE</v>
      </c>
      <c r="AO67" s="1" t="str">
        <f t="shared" si="21"/>
        <v>NON LIVRE</v>
      </c>
      <c r="AP67" s="1" t="str">
        <f t="shared" ref="AP67:AP130" si="39">IFERROR(IF($T67="","NON LIVRE",IF(MAX($P67,$Q67)=0,"PAS D'EXPEDITION DE MATIERE, D'IMPRESSION, OU D'ACHAT",NETWORKDAYS(MIN($P67,$Q67),MAX($P67,$Q67))-1)),"PAS D'EXPEDITION DE MATIERE, D'IMPRESSION, OU D'ACHAT")</f>
        <v>NON LIVRE</v>
      </c>
      <c r="AQ67" s="1" t="str">
        <f t="shared" si="27"/>
        <v>NON LIVRE</v>
      </c>
      <c r="AR67" s="1" t="str">
        <f t="shared" ref="AR67:AR130" si="40">IFERROR(IF($T67="","NON LIVRE",IF($P67="","PAS D'IMPRESSION",IF($Q67="","PAS DE DATE VALIDATION MODELE CLIENT",NETWORKDAYS($S67,T67)-1))),$Q67)</f>
        <v>NON LIVRE</v>
      </c>
    </row>
    <row r="68" spans="1:44" x14ac:dyDescent="0.3">
      <c r="A68" s="1">
        <v>25132</v>
      </c>
      <c r="B68" s="1" t="s">
        <v>73</v>
      </c>
      <c r="C68" s="3" t="s">
        <v>74</v>
      </c>
      <c r="D68" s="4">
        <v>100</v>
      </c>
      <c r="E68" s="24">
        <f>_xlfn.XLOOKUP(A68,[1]PONCEBLANC!$Q:$Q,[1]PONCEBLANC!$J:$J,100,0)</f>
        <v>9300</v>
      </c>
      <c r="F68" s="2" t="s">
        <v>176</v>
      </c>
      <c r="G68" s="2">
        <v>45789</v>
      </c>
      <c r="H68" s="2">
        <v>45833</v>
      </c>
      <c r="J68" s="2">
        <v>45919</v>
      </c>
      <c r="K68" s="2">
        <v>45848</v>
      </c>
      <c r="N68" s="2">
        <v>45904</v>
      </c>
      <c r="P68" s="2">
        <v>45926</v>
      </c>
      <c r="Q68" s="2">
        <v>45946</v>
      </c>
      <c r="R68" s="2">
        <v>45947</v>
      </c>
      <c r="S68" s="2">
        <v>45947</v>
      </c>
      <c r="T68" s="2">
        <v>45954</v>
      </c>
      <c r="U68" s="1">
        <v>2</v>
      </c>
      <c r="Y68" s="1">
        <f t="shared" si="28"/>
        <v>119</v>
      </c>
      <c r="Z68" s="1">
        <f t="shared" si="29"/>
        <v>32</v>
      </c>
      <c r="AA68" s="1">
        <f t="shared" si="22"/>
        <v>87</v>
      </c>
      <c r="AB68" s="1">
        <f t="shared" si="23"/>
        <v>82</v>
      </c>
      <c r="AC68" s="1">
        <f t="shared" si="24"/>
        <v>0</v>
      </c>
      <c r="AD68" s="1">
        <f t="shared" si="30"/>
        <v>67</v>
      </c>
      <c r="AE68" s="1" t="str">
        <f t="shared" si="25"/>
        <v>PAS DE COMMANDE MATIERE</v>
      </c>
      <c r="AF68" s="1">
        <f t="shared" si="31"/>
        <v>32799</v>
      </c>
      <c r="AG68" s="1">
        <f t="shared" si="32"/>
        <v>5</v>
      </c>
      <c r="AH68" s="1">
        <f t="shared" si="26"/>
        <v>81</v>
      </c>
      <c r="AI68" s="1">
        <f t="shared" si="33"/>
        <v>51</v>
      </c>
      <c r="AJ68" s="1" t="str">
        <f t="shared" si="34"/>
        <v>PAS DE DATE PAPIER</v>
      </c>
      <c r="AK68" s="1" t="str">
        <f t="shared" si="35"/>
        <v>PAS DE DATE CARTON</v>
      </c>
      <c r="AL68" s="1">
        <f t="shared" si="36"/>
        <v>11</v>
      </c>
      <c r="AM68" s="1" t="str">
        <f t="shared" si="37"/>
        <v>PAS DE DATE VALIDATION MODELE CLIENT</v>
      </c>
      <c r="AN68" s="1">
        <f t="shared" si="38"/>
        <v>40</v>
      </c>
      <c r="AO68" s="1">
        <f t="shared" si="21"/>
        <v>30</v>
      </c>
      <c r="AP68" s="1">
        <f t="shared" si="39"/>
        <v>14</v>
      </c>
      <c r="AQ68" s="1">
        <f t="shared" si="27"/>
        <v>1</v>
      </c>
      <c r="AR68" s="1">
        <f t="shared" si="40"/>
        <v>5</v>
      </c>
    </row>
    <row r="69" spans="1:44" x14ac:dyDescent="0.3">
      <c r="A69" s="1">
        <v>25133</v>
      </c>
      <c r="B69" s="1" t="s">
        <v>17</v>
      </c>
      <c r="C69" s="3" t="s">
        <v>75</v>
      </c>
      <c r="D69" s="4">
        <v>3000</v>
      </c>
      <c r="E69" s="24">
        <f>_xlfn.XLOOKUP(A69,[1]PONCEBLANC!$Q:$Q,[1]PONCEBLANC!$J:$J,100,0)</f>
        <v>59900</v>
      </c>
      <c r="F69" s="2" t="s">
        <v>136</v>
      </c>
      <c r="G69" s="2">
        <v>45784</v>
      </c>
      <c r="H69" s="2">
        <v>46065</v>
      </c>
      <c r="I69" s="2">
        <v>46065</v>
      </c>
      <c r="J69" s="2">
        <v>46069</v>
      </c>
      <c r="R69" s="2">
        <v>46094</v>
      </c>
      <c r="S69" s="2">
        <v>46094</v>
      </c>
      <c r="T69" s="2">
        <v>46115</v>
      </c>
      <c r="U69" s="1">
        <v>4</v>
      </c>
      <c r="Y69" s="1">
        <f t="shared" si="28"/>
        <v>237</v>
      </c>
      <c r="Z69" s="1">
        <f t="shared" si="29"/>
        <v>201</v>
      </c>
      <c r="AA69" s="1">
        <f t="shared" si="22"/>
        <v>36</v>
      </c>
      <c r="AB69" s="1">
        <f t="shared" si="23"/>
        <v>21</v>
      </c>
      <c r="AC69" s="1">
        <f t="shared" si="24"/>
        <v>0</v>
      </c>
      <c r="AD69" s="1" t="str">
        <f t="shared" si="30"/>
        <v>PAS DE DEPART MATIERE</v>
      </c>
      <c r="AE69" s="1">
        <f t="shared" si="25"/>
        <v>0</v>
      </c>
      <c r="AF69" s="1">
        <f t="shared" si="31"/>
        <v>2</v>
      </c>
      <c r="AG69" s="1" t="str">
        <f t="shared" si="32"/>
        <v>PAS DE COMMANDE MATIERE</v>
      </c>
      <c r="AH69" s="1" t="str">
        <f t="shared" si="26"/>
        <v>PAS DE DEPART TIRAGES OU ACHATS</v>
      </c>
      <c r="AI69" s="1" t="str">
        <f t="shared" si="33"/>
        <v>PAS DE DATE IMPRESSION</v>
      </c>
      <c r="AJ69" s="1" t="str">
        <f t="shared" si="34"/>
        <v>PAS DE DATE PAPIER</v>
      </c>
      <c r="AK69" s="1" t="str">
        <f t="shared" si="35"/>
        <v>PAS DE DATE CARTON</v>
      </c>
      <c r="AL69" s="1" t="str">
        <f t="shared" si="36"/>
        <v>PAS DE DATE FICHIER</v>
      </c>
      <c r="AM69" s="1" t="str">
        <f t="shared" si="37"/>
        <v>PAS DE DATE VALIDATION MODELE CLIENT</v>
      </c>
      <c r="AN69" s="1" t="str">
        <f t="shared" si="38"/>
        <v>PAS DE DATE IMPRESSION</v>
      </c>
      <c r="AO69" s="1" t="str">
        <f t="shared" si="21"/>
        <v>PAS D'IMPRESSION</v>
      </c>
      <c r="AP69" s="1" t="str">
        <f t="shared" si="39"/>
        <v>PAS D'EXPEDITION DE MATIERE, D'IMPRESSION, OU D'ACHAT</v>
      </c>
      <c r="AQ69" s="1" t="str">
        <f t="shared" si="27"/>
        <v>PAS D'EXPEDITION DE MATIERE, D'IMPRESSION, OU D'ACHAT</v>
      </c>
      <c r="AR69" s="1" t="str">
        <f t="shared" si="40"/>
        <v>PAS D'IMPRESSION</v>
      </c>
    </row>
    <row r="70" spans="1:44" x14ac:dyDescent="0.3">
      <c r="A70" s="1">
        <v>25135</v>
      </c>
      <c r="B70" s="1" t="s">
        <v>76</v>
      </c>
      <c r="C70" s="3" t="s">
        <v>177</v>
      </c>
      <c r="D70" s="4">
        <v>20000</v>
      </c>
      <c r="E70" s="24">
        <f>_xlfn.XLOOKUP(A70,[1]PONCEBLANC!$Q:$Q,[1]PONCEBLANC!$J:$J,100,0)</f>
        <v>26910.000000000004</v>
      </c>
      <c r="F70" s="2" t="s">
        <v>137</v>
      </c>
      <c r="G70" s="2">
        <v>45763</v>
      </c>
      <c r="H70" s="2">
        <v>45838</v>
      </c>
      <c r="J70" s="2">
        <v>45933</v>
      </c>
      <c r="K70" s="2">
        <v>45897</v>
      </c>
      <c r="L70" s="2">
        <v>45908</v>
      </c>
      <c r="N70" s="2">
        <v>45911</v>
      </c>
      <c r="P70" s="2">
        <v>45933</v>
      </c>
      <c r="Q70" s="2">
        <v>45918</v>
      </c>
      <c r="R70" s="2">
        <v>45954</v>
      </c>
      <c r="S70" s="2">
        <v>45954</v>
      </c>
      <c r="T70" s="2">
        <v>45968</v>
      </c>
      <c r="U70" s="1">
        <v>2</v>
      </c>
      <c r="Y70" s="1">
        <f t="shared" si="28"/>
        <v>147</v>
      </c>
      <c r="Z70" s="1">
        <f t="shared" si="29"/>
        <v>53</v>
      </c>
      <c r="AA70" s="1">
        <f t="shared" si="22"/>
        <v>94</v>
      </c>
      <c r="AB70" s="1">
        <f t="shared" si="23"/>
        <v>84</v>
      </c>
      <c r="AC70" s="1">
        <f t="shared" si="24"/>
        <v>0</v>
      </c>
      <c r="AD70" s="1">
        <f t="shared" si="30"/>
        <v>69</v>
      </c>
      <c r="AE70" s="1" t="str">
        <f t="shared" si="25"/>
        <v>PAS DE COMMANDE MATIERE</v>
      </c>
      <c r="AF70" s="1">
        <f t="shared" si="31"/>
        <v>32809</v>
      </c>
      <c r="AG70" s="1">
        <f t="shared" si="32"/>
        <v>0</v>
      </c>
      <c r="AH70" s="1">
        <f t="shared" si="26"/>
        <v>58</v>
      </c>
      <c r="AI70" s="1">
        <f t="shared" si="33"/>
        <v>53</v>
      </c>
      <c r="AJ70" s="1" t="str">
        <f t="shared" si="34"/>
        <v>PAS DE DATE PAPIER</v>
      </c>
      <c r="AK70" s="1" t="str">
        <f t="shared" si="35"/>
        <v>PAS DE DATE CARTON</v>
      </c>
      <c r="AL70" s="1">
        <f t="shared" si="36"/>
        <v>43</v>
      </c>
      <c r="AM70" s="1">
        <f t="shared" si="37"/>
        <v>50</v>
      </c>
      <c r="AN70" s="1">
        <f t="shared" si="38"/>
        <v>3</v>
      </c>
      <c r="AO70" s="1">
        <f t="shared" si="21"/>
        <v>5</v>
      </c>
      <c r="AP70" s="1">
        <f t="shared" si="39"/>
        <v>11</v>
      </c>
      <c r="AQ70" s="1">
        <f t="shared" si="27"/>
        <v>15</v>
      </c>
      <c r="AR70" s="1">
        <f t="shared" si="40"/>
        <v>10</v>
      </c>
    </row>
    <row r="71" spans="1:44" x14ac:dyDescent="0.3">
      <c r="A71" s="1">
        <v>25135</v>
      </c>
      <c r="B71" s="1" t="s">
        <v>76</v>
      </c>
      <c r="C71" s="3" t="s">
        <v>178</v>
      </c>
      <c r="D71" s="4">
        <v>2500</v>
      </c>
      <c r="E71" s="24">
        <f>_xlfn.XLOOKUP(A71,[1]PONCEBLANC!$Q:$Q,[1]PONCEBLANC!$J:$J,100,0)</f>
        <v>26910.000000000004</v>
      </c>
      <c r="F71" s="2" t="s">
        <v>137</v>
      </c>
      <c r="G71" s="2">
        <v>45763</v>
      </c>
      <c r="H71" s="2">
        <v>45838</v>
      </c>
      <c r="J71" s="2">
        <v>45933</v>
      </c>
      <c r="K71" s="2">
        <v>45897</v>
      </c>
      <c r="L71" s="2">
        <v>45908</v>
      </c>
      <c r="N71" s="2">
        <v>45911</v>
      </c>
      <c r="P71" s="2">
        <v>45933</v>
      </c>
      <c r="Q71" s="2">
        <v>45918</v>
      </c>
      <c r="R71" s="2">
        <v>45954</v>
      </c>
      <c r="S71" s="2">
        <v>45954</v>
      </c>
      <c r="T71" s="2">
        <v>45968</v>
      </c>
      <c r="U71" s="1">
        <v>2</v>
      </c>
      <c r="Y71" s="1">
        <f t="shared" si="28"/>
        <v>147</v>
      </c>
      <c r="Z71" s="1">
        <f t="shared" si="29"/>
        <v>53</v>
      </c>
      <c r="AA71" s="1">
        <f t="shared" si="22"/>
        <v>94</v>
      </c>
      <c r="AB71" s="1">
        <f t="shared" si="23"/>
        <v>84</v>
      </c>
      <c r="AC71" s="1">
        <f t="shared" si="24"/>
        <v>0</v>
      </c>
      <c r="AD71" s="1">
        <f t="shared" si="30"/>
        <v>69</v>
      </c>
      <c r="AE71" s="1" t="str">
        <f t="shared" si="25"/>
        <v>PAS DE COMMANDE MATIERE</v>
      </c>
      <c r="AF71" s="1">
        <f t="shared" si="31"/>
        <v>32809</v>
      </c>
      <c r="AG71" s="1">
        <f t="shared" si="32"/>
        <v>0</v>
      </c>
      <c r="AH71" s="1">
        <f t="shared" si="26"/>
        <v>58</v>
      </c>
      <c r="AI71" s="1">
        <f t="shared" si="33"/>
        <v>53</v>
      </c>
      <c r="AJ71" s="1" t="str">
        <f t="shared" si="34"/>
        <v>PAS DE DATE PAPIER</v>
      </c>
      <c r="AK71" s="1" t="str">
        <f t="shared" si="35"/>
        <v>PAS DE DATE CARTON</v>
      </c>
      <c r="AL71" s="1">
        <f t="shared" si="36"/>
        <v>43</v>
      </c>
      <c r="AM71" s="1">
        <f t="shared" si="37"/>
        <v>50</v>
      </c>
      <c r="AN71" s="1">
        <f t="shared" si="38"/>
        <v>3</v>
      </c>
      <c r="AO71" s="1">
        <f t="shared" si="21"/>
        <v>5</v>
      </c>
      <c r="AP71" s="1">
        <f t="shared" si="39"/>
        <v>11</v>
      </c>
      <c r="AQ71" s="1">
        <f t="shared" si="27"/>
        <v>15</v>
      </c>
      <c r="AR71" s="1">
        <f t="shared" si="40"/>
        <v>10</v>
      </c>
    </row>
    <row r="72" spans="1:44" x14ac:dyDescent="0.3">
      <c r="A72" s="1">
        <v>25136</v>
      </c>
      <c r="B72" s="1" t="s">
        <v>77</v>
      </c>
      <c r="C72" s="3" t="s">
        <v>78</v>
      </c>
      <c r="D72" s="4">
        <v>2000</v>
      </c>
      <c r="E72" s="24">
        <f>_xlfn.XLOOKUP(A72,[1]PONCEBLANC!$Q:$Q,[1]PONCEBLANC!$J:$J,100,0)</f>
        <v>34600</v>
      </c>
      <c r="F72" s="2" t="s">
        <v>179</v>
      </c>
      <c r="G72" s="2">
        <v>45728</v>
      </c>
      <c r="H72" s="2">
        <v>45839</v>
      </c>
      <c r="K72" s="2">
        <v>45849</v>
      </c>
      <c r="L72" s="2" t="s">
        <v>369</v>
      </c>
      <c r="N72" s="2">
        <v>45862</v>
      </c>
      <c r="O72" s="2">
        <v>45875</v>
      </c>
      <c r="Q72" s="2">
        <v>45936</v>
      </c>
      <c r="R72" s="2">
        <v>45912</v>
      </c>
      <c r="S72" s="2">
        <v>45912</v>
      </c>
      <c r="T72" s="2">
        <v>45933</v>
      </c>
      <c r="U72" s="1">
        <v>3</v>
      </c>
      <c r="Y72" s="1">
        <f t="shared" si="28"/>
        <v>147</v>
      </c>
      <c r="Z72" s="1">
        <f t="shared" si="29"/>
        <v>79</v>
      </c>
      <c r="AA72" s="1">
        <f t="shared" si="22"/>
        <v>68</v>
      </c>
      <c r="AB72" s="1">
        <f t="shared" si="23"/>
        <v>53</v>
      </c>
      <c r="AC72" s="1">
        <f t="shared" si="24"/>
        <v>0</v>
      </c>
      <c r="AD72" s="1" t="str">
        <f t="shared" si="30"/>
        <v>PAS DE DEPART MATIERE</v>
      </c>
      <c r="AE72" s="1" t="str">
        <f t="shared" si="25"/>
        <v>PAS DE COMMANDE MATIERE</v>
      </c>
      <c r="AF72" s="1" t="str">
        <f t="shared" si="31"/>
        <v>PAS DE COMMANDE MATIERE</v>
      </c>
      <c r="AG72" s="1" t="str">
        <f t="shared" si="32"/>
        <v>PAS DE COMMANDE MATIERE</v>
      </c>
      <c r="AH72" s="1">
        <f t="shared" si="26"/>
        <v>69</v>
      </c>
      <c r="AI72" s="1">
        <f t="shared" si="33"/>
        <v>17</v>
      </c>
      <c r="AJ72" s="1" t="str">
        <f t="shared" si="34"/>
        <v>PAS DE DATE PAPIER</v>
      </c>
      <c r="AK72" s="1">
        <f t="shared" si="35"/>
        <v>26</v>
      </c>
      <c r="AL72" s="1">
        <f t="shared" si="36"/>
        <v>8</v>
      </c>
      <c r="AM72" s="1" t="str">
        <f t="shared" si="37"/>
        <v>DEVIS</v>
      </c>
      <c r="AN72" s="1">
        <f t="shared" si="38"/>
        <v>9</v>
      </c>
      <c r="AO72" s="1">
        <f t="shared" si="21"/>
        <v>52</v>
      </c>
      <c r="AP72" s="1">
        <f t="shared" si="39"/>
        <v>0</v>
      </c>
      <c r="AQ72" s="1">
        <f t="shared" si="27"/>
        <v>-18</v>
      </c>
      <c r="AR72" s="1" t="str">
        <f t="shared" si="40"/>
        <v>PAS D'IMPRESSION</v>
      </c>
    </row>
    <row r="73" spans="1:44" x14ac:dyDescent="0.3">
      <c r="A73" s="1">
        <v>25137</v>
      </c>
      <c r="B73" s="1" t="s">
        <v>17</v>
      </c>
      <c r="C73" s="3" t="s">
        <v>79</v>
      </c>
      <c r="D73" s="4">
        <v>2000</v>
      </c>
      <c r="E73" s="24">
        <f>_xlfn.XLOOKUP(A73,[1]PONCEBLANC!$Q:$Q,[1]PONCEBLANC!$J:$J,100,0)</f>
        <v>16274.999999999998</v>
      </c>
      <c r="F73" s="2" t="s">
        <v>133</v>
      </c>
      <c r="G73" s="2">
        <v>45799</v>
      </c>
      <c r="H73" s="2">
        <v>45841</v>
      </c>
      <c r="J73" s="2">
        <v>45873</v>
      </c>
      <c r="K73" s="2">
        <v>45873</v>
      </c>
      <c r="L73" s="2" t="s">
        <v>315</v>
      </c>
      <c r="M73" s="2">
        <v>45875</v>
      </c>
      <c r="N73" s="2">
        <v>45909</v>
      </c>
      <c r="O73" s="2">
        <v>45875</v>
      </c>
      <c r="P73" s="2">
        <v>45919</v>
      </c>
      <c r="Q73" s="2">
        <v>45925</v>
      </c>
      <c r="R73" s="2">
        <v>45954</v>
      </c>
      <c r="S73" s="2">
        <v>45954</v>
      </c>
      <c r="T73" s="2">
        <v>45961</v>
      </c>
      <c r="U73" s="1">
        <v>2</v>
      </c>
      <c r="Y73" s="1">
        <f t="shared" si="28"/>
        <v>116</v>
      </c>
      <c r="Z73" s="1">
        <f t="shared" si="29"/>
        <v>30</v>
      </c>
      <c r="AA73" s="1">
        <f t="shared" si="22"/>
        <v>86</v>
      </c>
      <c r="AB73" s="1">
        <f t="shared" si="23"/>
        <v>81</v>
      </c>
      <c r="AC73" s="1">
        <f t="shared" si="24"/>
        <v>0</v>
      </c>
      <c r="AD73" s="1">
        <f t="shared" si="30"/>
        <v>56</v>
      </c>
      <c r="AE73" s="1" t="str">
        <f t="shared" si="25"/>
        <v>PAS DE COMMANDE MATIERE</v>
      </c>
      <c r="AF73" s="1">
        <f t="shared" si="31"/>
        <v>32765</v>
      </c>
      <c r="AG73" s="1">
        <f t="shared" si="32"/>
        <v>34</v>
      </c>
      <c r="AH73" s="1">
        <f t="shared" si="26"/>
        <v>60</v>
      </c>
      <c r="AI73" s="1">
        <f t="shared" si="33"/>
        <v>48</v>
      </c>
      <c r="AJ73" s="1">
        <f t="shared" si="34"/>
        <v>24</v>
      </c>
      <c r="AK73" s="1">
        <f t="shared" si="35"/>
        <v>24</v>
      </c>
      <c r="AL73" s="1">
        <f t="shared" si="36"/>
        <v>22</v>
      </c>
      <c r="AM73" s="1" t="str">
        <f t="shared" si="37"/>
        <v>ANC FAB</v>
      </c>
      <c r="AN73" s="1">
        <f t="shared" si="38"/>
        <v>26</v>
      </c>
      <c r="AO73" s="1">
        <f t="shared" si="21"/>
        <v>12</v>
      </c>
      <c r="AP73" s="1">
        <f t="shared" si="39"/>
        <v>4</v>
      </c>
      <c r="AQ73" s="1">
        <f t="shared" si="27"/>
        <v>21</v>
      </c>
      <c r="AR73" s="1">
        <f t="shared" si="40"/>
        <v>5</v>
      </c>
    </row>
    <row r="74" spans="1:44" x14ac:dyDescent="0.3">
      <c r="A74" s="1">
        <v>25138</v>
      </c>
      <c r="B74" s="1" t="s">
        <v>80</v>
      </c>
      <c r="C74" s="3" t="s">
        <v>180</v>
      </c>
      <c r="D74" s="4">
        <v>7000</v>
      </c>
      <c r="E74" s="24">
        <f>_xlfn.XLOOKUP(A74,[1]PONCEBLANC!$Q:$Q,[1]PONCEBLANC!$J:$J,100,0)</f>
        <v>17640</v>
      </c>
      <c r="F74" s="2" t="s">
        <v>153</v>
      </c>
      <c r="G74" s="2">
        <v>45828</v>
      </c>
      <c r="H74" s="2">
        <v>45845</v>
      </c>
      <c r="J74" s="2">
        <v>45875</v>
      </c>
      <c r="K74" s="2">
        <v>45863</v>
      </c>
      <c r="L74" s="2">
        <v>45870</v>
      </c>
      <c r="M74" s="2">
        <v>45861</v>
      </c>
      <c r="N74" s="2">
        <v>45874</v>
      </c>
      <c r="P74" s="2">
        <v>45876</v>
      </c>
      <c r="Q74" s="2">
        <v>45905</v>
      </c>
      <c r="R74" s="2">
        <v>45912</v>
      </c>
      <c r="S74" s="2">
        <v>45912</v>
      </c>
      <c r="T74" s="2">
        <v>45940</v>
      </c>
      <c r="U74" s="1">
        <v>3</v>
      </c>
      <c r="Y74" s="1">
        <f t="shared" si="28"/>
        <v>80</v>
      </c>
      <c r="Z74" s="1">
        <f t="shared" si="29"/>
        <v>11</v>
      </c>
      <c r="AA74" s="1">
        <f t="shared" si="22"/>
        <v>69</v>
      </c>
      <c r="AB74" s="1">
        <f t="shared" si="23"/>
        <v>49</v>
      </c>
      <c r="AC74" s="1">
        <f t="shared" si="24"/>
        <v>0</v>
      </c>
      <c r="AD74" s="1">
        <f t="shared" si="30"/>
        <v>23</v>
      </c>
      <c r="AE74" s="1" t="str">
        <f t="shared" si="25"/>
        <v>PAS DE COMMANDE MATIERE</v>
      </c>
      <c r="AF74" s="1">
        <f t="shared" si="31"/>
        <v>32767</v>
      </c>
      <c r="AG74" s="1">
        <f t="shared" si="32"/>
        <v>1</v>
      </c>
      <c r="AH74" s="1">
        <f t="shared" si="26"/>
        <v>44</v>
      </c>
      <c r="AI74" s="1">
        <f t="shared" si="33"/>
        <v>21</v>
      </c>
      <c r="AJ74" s="1">
        <f t="shared" si="34"/>
        <v>12</v>
      </c>
      <c r="AK74" s="1" t="str">
        <f t="shared" si="35"/>
        <v>PAS DE DATE CARTON</v>
      </c>
      <c r="AL74" s="1">
        <f t="shared" si="36"/>
        <v>14</v>
      </c>
      <c r="AM74" s="1">
        <f t="shared" si="37"/>
        <v>19</v>
      </c>
      <c r="AN74" s="1">
        <f t="shared" si="38"/>
        <v>2</v>
      </c>
      <c r="AO74" s="1">
        <f t="shared" si="21"/>
        <v>23</v>
      </c>
      <c r="AP74" s="1">
        <f t="shared" si="39"/>
        <v>21</v>
      </c>
      <c r="AQ74" s="1">
        <f t="shared" si="27"/>
        <v>5</v>
      </c>
      <c r="AR74" s="1">
        <f t="shared" si="40"/>
        <v>20</v>
      </c>
    </row>
    <row r="75" spans="1:44" x14ac:dyDescent="0.3">
      <c r="A75" s="1">
        <v>25138</v>
      </c>
      <c r="B75" s="1" t="s">
        <v>80</v>
      </c>
      <c r="C75" s="3" t="s">
        <v>181</v>
      </c>
      <c r="D75" s="4">
        <v>7000</v>
      </c>
      <c r="E75" s="24">
        <f>_xlfn.XLOOKUP(A75,[1]PONCEBLANC!$Q:$Q,[1]PONCEBLANC!$J:$J,100,0)</f>
        <v>17640</v>
      </c>
      <c r="F75" s="2" t="s">
        <v>153</v>
      </c>
      <c r="G75" s="2">
        <v>45828</v>
      </c>
      <c r="H75" s="2">
        <v>45845</v>
      </c>
      <c r="J75" s="2">
        <v>45870</v>
      </c>
      <c r="K75" s="2">
        <v>45860</v>
      </c>
      <c r="L75" s="2">
        <v>45870</v>
      </c>
      <c r="M75" s="2">
        <v>45861</v>
      </c>
      <c r="N75" s="2">
        <v>45874</v>
      </c>
      <c r="P75" s="2">
        <v>45876</v>
      </c>
      <c r="Q75" s="2">
        <v>45905</v>
      </c>
      <c r="R75" s="2">
        <v>45912</v>
      </c>
      <c r="S75" s="2">
        <v>45912</v>
      </c>
      <c r="T75" s="2">
        <v>45940</v>
      </c>
      <c r="U75" s="1">
        <v>3</v>
      </c>
      <c r="Y75" s="1">
        <f t="shared" si="28"/>
        <v>80</v>
      </c>
      <c r="Z75" s="1">
        <f t="shared" si="29"/>
        <v>11</v>
      </c>
      <c r="AA75" s="1">
        <f t="shared" si="22"/>
        <v>69</v>
      </c>
      <c r="AB75" s="1">
        <f t="shared" si="23"/>
        <v>49</v>
      </c>
      <c r="AC75" s="1">
        <f t="shared" si="24"/>
        <v>0</v>
      </c>
      <c r="AD75" s="1">
        <f t="shared" si="30"/>
        <v>23</v>
      </c>
      <c r="AE75" s="1" t="str">
        <f t="shared" si="25"/>
        <v>PAS DE COMMANDE MATIERE</v>
      </c>
      <c r="AF75" s="1">
        <f t="shared" si="31"/>
        <v>32764</v>
      </c>
      <c r="AG75" s="1">
        <f t="shared" si="32"/>
        <v>4</v>
      </c>
      <c r="AH75" s="1">
        <f t="shared" si="26"/>
        <v>44</v>
      </c>
      <c r="AI75" s="1">
        <f t="shared" si="33"/>
        <v>21</v>
      </c>
      <c r="AJ75" s="1">
        <f t="shared" si="34"/>
        <v>12</v>
      </c>
      <c r="AK75" s="1" t="str">
        <f t="shared" si="35"/>
        <v>PAS DE DATE CARTON</v>
      </c>
      <c r="AL75" s="1">
        <f t="shared" si="36"/>
        <v>11</v>
      </c>
      <c r="AM75" s="1">
        <f t="shared" si="37"/>
        <v>19</v>
      </c>
      <c r="AN75" s="1">
        <f t="shared" si="38"/>
        <v>2</v>
      </c>
      <c r="AO75" s="1">
        <f t="shared" si="21"/>
        <v>23</v>
      </c>
      <c r="AP75" s="1">
        <f t="shared" si="39"/>
        <v>21</v>
      </c>
      <c r="AQ75" s="1">
        <f t="shared" si="27"/>
        <v>5</v>
      </c>
      <c r="AR75" s="1">
        <f t="shared" si="40"/>
        <v>20</v>
      </c>
    </row>
    <row r="76" spans="1:44" x14ac:dyDescent="0.3">
      <c r="A76" s="1">
        <v>25140</v>
      </c>
      <c r="B76" s="1" t="s">
        <v>81</v>
      </c>
      <c r="C76" s="3" t="s">
        <v>82</v>
      </c>
      <c r="D76" s="4">
        <v>38000</v>
      </c>
      <c r="E76" s="24">
        <f>_xlfn.XLOOKUP(A76,[1]PONCEBLANC!$Q:$Q,[1]PONCEBLANC!$J:$J,100,0)</f>
        <v>100</v>
      </c>
      <c r="F76" s="2" t="s">
        <v>182</v>
      </c>
      <c r="G76" s="2" t="s">
        <v>450</v>
      </c>
      <c r="H76" s="2">
        <v>45848</v>
      </c>
      <c r="J76" s="2">
        <v>45856</v>
      </c>
      <c r="K76" s="2" t="s">
        <v>374</v>
      </c>
      <c r="P76" s="2">
        <v>45889</v>
      </c>
      <c r="Q76" s="2">
        <v>45876</v>
      </c>
      <c r="R76" s="2">
        <v>45926</v>
      </c>
      <c r="S76" s="2">
        <v>45926</v>
      </c>
      <c r="T76" s="2">
        <v>45926</v>
      </c>
      <c r="U76" s="1">
        <v>1</v>
      </c>
      <c r="Y76" s="1" t="str">
        <f t="shared" si="28"/>
        <v>DATE MANQUANTE</v>
      </c>
      <c r="Z76" s="1" t="str">
        <f t="shared" si="29"/>
        <v>DATE MANQUANTE</v>
      </c>
      <c r="AA76" s="1">
        <f t="shared" si="22"/>
        <v>56</v>
      </c>
      <c r="AB76" s="1">
        <f t="shared" si="23"/>
        <v>56</v>
      </c>
      <c r="AC76" s="1">
        <f t="shared" si="24"/>
        <v>0</v>
      </c>
      <c r="AD76" s="1">
        <f t="shared" si="30"/>
        <v>29</v>
      </c>
      <c r="AE76" s="1" t="str">
        <f t="shared" si="25"/>
        <v>PAS DE COMMANDE MATIERE</v>
      </c>
      <c r="AF76" s="1">
        <f t="shared" si="31"/>
        <v>32754</v>
      </c>
      <c r="AG76" s="1">
        <f t="shared" si="32"/>
        <v>23</v>
      </c>
      <c r="AH76" s="1">
        <f t="shared" si="26"/>
        <v>20</v>
      </c>
      <c r="AI76" s="1" t="str">
        <f t="shared" si="33"/>
        <v>PAS DE DATE IMPRESSION</v>
      </c>
      <c r="AJ76" s="1" t="str">
        <f t="shared" si="34"/>
        <v>PAS DE DATE PAPIER</v>
      </c>
      <c r="AK76" s="1" t="str">
        <f t="shared" si="35"/>
        <v>PAS DE DATE CARTON</v>
      </c>
      <c r="AL76" s="1" t="str">
        <f t="shared" si="36"/>
        <v>CREA ISABELLE</v>
      </c>
      <c r="AM76" s="1" t="str">
        <f t="shared" si="37"/>
        <v>PAS DE DATE VALIDATION MODELE CLIENT</v>
      </c>
      <c r="AN76" s="1" t="str">
        <f t="shared" si="38"/>
        <v>PAS DE DATE IMPRESSION</v>
      </c>
      <c r="AO76" s="1" t="str">
        <f t="shared" si="21"/>
        <v>PAS D'IMPRESSION</v>
      </c>
      <c r="AP76" s="1">
        <f t="shared" si="39"/>
        <v>9</v>
      </c>
      <c r="AQ76" s="1">
        <f t="shared" si="27"/>
        <v>27</v>
      </c>
      <c r="AR76" s="1">
        <f t="shared" si="40"/>
        <v>0</v>
      </c>
    </row>
    <row r="77" spans="1:44" x14ac:dyDescent="0.3">
      <c r="A77" s="1">
        <v>25142</v>
      </c>
      <c r="B77" s="1" t="s">
        <v>83</v>
      </c>
      <c r="C77" s="3" t="s">
        <v>84</v>
      </c>
      <c r="D77" s="4">
        <v>2500</v>
      </c>
      <c r="E77" s="24">
        <f>_xlfn.XLOOKUP(A77,[1]PONCEBLANC!$Q:$Q,[1]PONCEBLANC!$J:$J,100,0)</f>
        <v>54974.999999999993</v>
      </c>
      <c r="F77" s="2" t="s">
        <v>133</v>
      </c>
      <c r="G77" s="2">
        <v>45565</v>
      </c>
      <c r="H77" s="2">
        <v>45854</v>
      </c>
      <c r="I77" s="2">
        <v>45763</v>
      </c>
      <c r="J77" s="2">
        <v>45904</v>
      </c>
      <c r="K77" s="2">
        <v>45974</v>
      </c>
      <c r="L77" s="2">
        <v>45898</v>
      </c>
      <c r="N77" s="2">
        <v>46000</v>
      </c>
      <c r="O77" s="2">
        <v>45875</v>
      </c>
      <c r="P77" s="2">
        <v>45982</v>
      </c>
      <c r="Q77" s="2">
        <v>46003</v>
      </c>
      <c r="R77" s="2">
        <v>45961</v>
      </c>
      <c r="S77" s="2">
        <v>45968</v>
      </c>
      <c r="T77" s="2">
        <v>46017</v>
      </c>
      <c r="U77" s="1">
        <v>3</v>
      </c>
      <c r="Y77" s="1">
        <f t="shared" si="28"/>
        <v>324</v>
      </c>
      <c r="Z77" s="1">
        <f t="shared" si="29"/>
        <v>207</v>
      </c>
      <c r="AA77" s="1">
        <f t="shared" si="22"/>
        <v>117</v>
      </c>
      <c r="AB77" s="1">
        <f t="shared" si="23"/>
        <v>82</v>
      </c>
      <c r="AC77" s="1">
        <f t="shared" si="24"/>
        <v>5</v>
      </c>
      <c r="AD77" s="1">
        <f t="shared" si="30"/>
        <v>92</v>
      </c>
      <c r="AE77" s="1">
        <f t="shared" si="25"/>
        <v>-67</v>
      </c>
      <c r="AF77" s="1">
        <f t="shared" si="31"/>
        <v>101</v>
      </c>
      <c r="AG77" s="1">
        <f t="shared" si="32"/>
        <v>56</v>
      </c>
      <c r="AH77" s="1">
        <f t="shared" si="26"/>
        <v>107</v>
      </c>
      <c r="AI77" s="1">
        <f t="shared" si="33"/>
        <v>104</v>
      </c>
      <c r="AJ77" s="1" t="str">
        <f t="shared" si="34"/>
        <v>PAS DE DATE PAPIER</v>
      </c>
      <c r="AK77" s="1">
        <f t="shared" si="35"/>
        <v>15</v>
      </c>
      <c r="AL77" s="1">
        <f t="shared" si="36"/>
        <v>86</v>
      </c>
      <c r="AM77" s="1">
        <f t="shared" si="37"/>
        <v>32</v>
      </c>
      <c r="AN77" s="1">
        <f t="shared" si="38"/>
        <v>18</v>
      </c>
      <c r="AO77" s="1">
        <f t="shared" si="21"/>
        <v>3</v>
      </c>
      <c r="AP77" s="1">
        <f t="shared" si="39"/>
        <v>15</v>
      </c>
      <c r="AQ77" s="1">
        <f t="shared" si="27"/>
        <v>-27</v>
      </c>
      <c r="AR77" s="1">
        <f t="shared" si="40"/>
        <v>35</v>
      </c>
    </row>
    <row r="78" spans="1:44" x14ac:dyDescent="0.3">
      <c r="A78" s="1">
        <v>25143</v>
      </c>
      <c r="B78" s="1" t="s">
        <v>17</v>
      </c>
      <c r="C78" s="3" t="s">
        <v>183</v>
      </c>
      <c r="D78" s="4">
        <v>5000</v>
      </c>
      <c r="E78" s="24">
        <f>_xlfn.XLOOKUP(A78,[1]PONCEBLANC!$Q:$Q,[1]PONCEBLANC!$J:$J,100,0)</f>
        <v>87850</v>
      </c>
      <c r="F78" s="2" t="s">
        <v>140</v>
      </c>
      <c r="G78" s="2">
        <v>45832</v>
      </c>
      <c r="H78" s="2">
        <v>45854</v>
      </c>
      <c r="I78" s="2">
        <v>45859</v>
      </c>
      <c r="J78" s="2">
        <v>45940</v>
      </c>
      <c r="K78" s="2">
        <v>45895</v>
      </c>
      <c r="L78" s="2" t="s">
        <v>315</v>
      </c>
      <c r="M78" s="2">
        <v>45897</v>
      </c>
      <c r="N78" s="2">
        <v>45910</v>
      </c>
      <c r="O78" s="2">
        <v>45905</v>
      </c>
      <c r="P78" s="2">
        <v>45939</v>
      </c>
      <c r="Q78" s="2">
        <v>45953</v>
      </c>
      <c r="R78" s="2">
        <v>45947</v>
      </c>
      <c r="S78" s="2">
        <v>45947</v>
      </c>
      <c r="T78" s="2">
        <v>45982</v>
      </c>
      <c r="U78" s="1">
        <v>5</v>
      </c>
      <c r="Y78" s="1">
        <f t="shared" si="28"/>
        <v>108</v>
      </c>
      <c r="Z78" s="1">
        <f t="shared" si="29"/>
        <v>16</v>
      </c>
      <c r="AA78" s="1">
        <f t="shared" si="22"/>
        <v>92</v>
      </c>
      <c r="AB78" s="1">
        <f t="shared" si="23"/>
        <v>67</v>
      </c>
      <c r="AC78" s="1">
        <f t="shared" si="24"/>
        <v>0</v>
      </c>
      <c r="AD78" s="1">
        <f t="shared" si="30"/>
        <v>61</v>
      </c>
      <c r="AE78" s="1">
        <f t="shared" si="25"/>
        <v>3</v>
      </c>
      <c r="AF78" s="1">
        <f t="shared" si="31"/>
        <v>59</v>
      </c>
      <c r="AG78" s="1">
        <f t="shared" si="32"/>
        <v>-3</v>
      </c>
      <c r="AH78" s="1">
        <f t="shared" si="26"/>
        <v>71</v>
      </c>
      <c r="AI78" s="1">
        <f t="shared" si="33"/>
        <v>40</v>
      </c>
      <c r="AJ78" s="1">
        <f t="shared" si="34"/>
        <v>31</v>
      </c>
      <c r="AK78" s="1">
        <f t="shared" si="35"/>
        <v>37</v>
      </c>
      <c r="AL78" s="1">
        <f t="shared" si="36"/>
        <v>29</v>
      </c>
      <c r="AM78" s="1" t="str">
        <f t="shared" si="37"/>
        <v>ANC FAB</v>
      </c>
      <c r="AN78" s="1">
        <f t="shared" si="38"/>
        <v>11</v>
      </c>
      <c r="AO78" s="1">
        <f t="shared" si="21"/>
        <v>31</v>
      </c>
      <c r="AP78" s="1">
        <f t="shared" si="39"/>
        <v>10</v>
      </c>
      <c r="AQ78" s="1">
        <f t="shared" si="27"/>
        <v>-6</v>
      </c>
      <c r="AR78" s="1">
        <f t="shared" si="40"/>
        <v>25</v>
      </c>
    </row>
    <row r="79" spans="1:44" x14ac:dyDescent="0.3">
      <c r="A79" s="1">
        <v>25143</v>
      </c>
      <c r="B79" s="1" t="s">
        <v>17</v>
      </c>
      <c r="C79" s="3" t="s">
        <v>184</v>
      </c>
      <c r="D79" s="4">
        <v>2000</v>
      </c>
      <c r="E79" s="24">
        <f>_xlfn.XLOOKUP(A79,[1]PONCEBLANC!$Q:$Q,[1]PONCEBLANC!$J:$J,100,0)</f>
        <v>87850</v>
      </c>
      <c r="F79" s="2" t="s">
        <v>140</v>
      </c>
      <c r="G79" s="2">
        <v>45832</v>
      </c>
      <c r="H79" s="2">
        <v>45854</v>
      </c>
      <c r="Y79" s="1" t="str">
        <f t="shared" si="28"/>
        <v>DATE MANQUANTE</v>
      </c>
      <c r="Z79" s="1">
        <f t="shared" si="29"/>
        <v>16</v>
      </c>
      <c r="AA79" s="1" t="str">
        <f t="shared" si="22"/>
        <v>NON LIVRE</v>
      </c>
      <c r="AB79" s="1" t="str">
        <f t="shared" si="23"/>
        <v>NON LIVRE</v>
      </c>
      <c r="AC79" s="1" t="str">
        <f t="shared" si="24"/>
        <v>NON LIVRE</v>
      </c>
      <c r="AD79" s="1" t="str">
        <f t="shared" si="30"/>
        <v>NON LIVRE</v>
      </c>
      <c r="AE79" s="1" t="str">
        <f t="shared" si="25"/>
        <v>NON LIVRE</v>
      </c>
      <c r="AF79" s="1" t="str">
        <f t="shared" si="31"/>
        <v>NON LIVRE</v>
      </c>
      <c r="AG79" s="1" t="str">
        <f t="shared" si="32"/>
        <v>NON LIVRE</v>
      </c>
      <c r="AH79" s="1" t="str">
        <f t="shared" si="26"/>
        <v>NON LIVRE</v>
      </c>
      <c r="AI79" s="1" t="str">
        <f t="shared" si="33"/>
        <v>NON LIVRE</v>
      </c>
      <c r="AJ79" s="1" t="str">
        <f t="shared" si="34"/>
        <v>NON LIVRE</v>
      </c>
      <c r="AK79" s="1" t="str">
        <f t="shared" si="35"/>
        <v>NON LIVRE</v>
      </c>
      <c r="AL79" s="1" t="str">
        <f t="shared" si="36"/>
        <v>NON LIVRE</v>
      </c>
      <c r="AM79" s="1" t="str">
        <f t="shared" si="37"/>
        <v>NON LIVRE</v>
      </c>
      <c r="AN79" s="1" t="str">
        <f t="shared" si="38"/>
        <v>NON LIVRE</v>
      </c>
      <c r="AO79" s="1" t="str">
        <f t="shared" si="21"/>
        <v>NON LIVRE</v>
      </c>
      <c r="AP79" s="1" t="str">
        <f t="shared" si="39"/>
        <v>NON LIVRE</v>
      </c>
      <c r="AQ79" s="1" t="str">
        <f t="shared" si="27"/>
        <v>NON LIVRE</v>
      </c>
      <c r="AR79" s="1" t="str">
        <f t="shared" si="40"/>
        <v>NON LIVRE</v>
      </c>
    </row>
    <row r="80" spans="1:44" x14ac:dyDescent="0.3">
      <c r="A80" s="1">
        <v>25144</v>
      </c>
      <c r="B80" s="1" t="s">
        <v>85</v>
      </c>
      <c r="C80" s="3" t="s">
        <v>86</v>
      </c>
      <c r="D80" s="4">
        <v>500</v>
      </c>
      <c r="E80" s="24">
        <f>_xlfn.XLOOKUP(A80,[1]PONCEBLANC!$Q:$Q,[1]PONCEBLANC!$J:$J,100,0)</f>
        <v>3805</v>
      </c>
      <c r="F80" s="2" t="s">
        <v>165</v>
      </c>
      <c r="G80" s="2">
        <v>45856</v>
      </c>
      <c r="H80" s="2">
        <v>45860</v>
      </c>
      <c r="I80" s="2">
        <v>45861</v>
      </c>
      <c r="J80" s="2">
        <v>45889</v>
      </c>
      <c r="K80" s="2">
        <v>45862</v>
      </c>
      <c r="L80" s="2">
        <v>45863</v>
      </c>
      <c r="N80" s="2">
        <v>45901</v>
      </c>
      <c r="P80" s="2">
        <v>45912</v>
      </c>
      <c r="Q80" s="2">
        <v>45911</v>
      </c>
      <c r="R80" s="2">
        <v>45933</v>
      </c>
      <c r="S80" s="2">
        <v>45933</v>
      </c>
      <c r="T80" s="2">
        <v>45933</v>
      </c>
      <c r="U80" s="1">
        <v>1</v>
      </c>
      <c r="Y80" s="1">
        <f t="shared" si="28"/>
        <v>55</v>
      </c>
      <c r="Z80" s="1">
        <f t="shared" si="29"/>
        <v>2</v>
      </c>
      <c r="AA80" s="1">
        <f t="shared" si="22"/>
        <v>53</v>
      </c>
      <c r="AB80" s="1">
        <f t="shared" si="23"/>
        <v>53</v>
      </c>
      <c r="AC80" s="1">
        <f t="shared" si="24"/>
        <v>0</v>
      </c>
      <c r="AD80" s="1">
        <f t="shared" si="30"/>
        <v>38</v>
      </c>
      <c r="AE80" s="1">
        <f t="shared" si="25"/>
        <v>1</v>
      </c>
      <c r="AF80" s="1">
        <f t="shared" si="31"/>
        <v>20</v>
      </c>
      <c r="AG80" s="1">
        <f t="shared" si="32"/>
        <v>17</v>
      </c>
      <c r="AH80" s="1">
        <f t="shared" si="26"/>
        <v>37</v>
      </c>
      <c r="AI80" s="1">
        <f t="shared" si="33"/>
        <v>29</v>
      </c>
      <c r="AJ80" s="1" t="str">
        <f t="shared" si="34"/>
        <v>PAS DE DATE PAPIER</v>
      </c>
      <c r="AK80" s="1" t="str">
        <f t="shared" si="35"/>
        <v>PAS DE DATE CARTON</v>
      </c>
      <c r="AL80" s="1">
        <f t="shared" si="36"/>
        <v>2</v>
      </c>
      <c r="AM80" s="1">
        <f t="shared" si="37"/>
        <v>3</v>
      </c>
      <c r="AN80" s="1">
        <f t="shared" si="38"/>
        <v>26</v>
      </c>
      <c r="AO80" s="1">
        <f t="shared" si="21"/>
        <v>8</v>
      </c>
      <c r="AP80" s="1">
        <f t="shared" si="39"/>
        <v>1</v>
      </c>
      <c r="AQ80" s="1">
        <f t="shared" si="27"/>
        <v>15</v>
      </c>
      <c r="AR80" s="1">
        <f t="shared" si="40"/>
        <v>0</v>
      </c>
    </row>
    <row r="81" spans="1:44" x14ac:dyDescent="0.3">
      <c r="A81" s="1">
        <v>25145</v>
      </c>
      <c r="B81" s="1" t="s">
        <v>87</v>
      </c>
      <c r="C81" s="3" t="s">
        <v>88</v>
      </c>
      <c r="D81" s="4">
        <v>100</v>
      </c>
      <c r="E81" s="24">
        <f>_xlfn.XLOOKUP(A81,[1]PONCEBLANC!$Q:$Q,[1]PONCEBLANC!$J:$J,100,0)</f>
        <v>4590</v>
      </c>
      <c r="F81" s="2" t="s">
        <v>185</v>
      </c>
      <c r="G81" s="2">
        <v>45712</v>
      </c>
      <c r="H81" s="2">
        <v>45860</v>
      </c>
      <c r="I81" s="2">
        <v>45861</v>
      </c>
      <c r="J81" s="2">
        <v>46049</v>
      </c>
      <c r="K81" s="2">
        <v>46031</v>
      </c>
      <c r="L81" s="2">
        <v>46028</v>
      </c>
      <c r="N81" s="2">
        <v>46035</v>
      </c>
      <c r="O81" s="2" t="s">
        <v>199</v>
      </c>
      <c r="P81" s="2">
        <v>46051</v>
      </c>
      <c r="Q81" s="2">
        <v>46087</v>
      </c>
      <c r="R81" s="2">
        <v>46101</v>
      </c>
      <c r="S81" s="2">
        <v>46101</v>
      </c>
      <c r="T81" s="2">
        <v>46101</v>
      </c>
      <c r="U81" s="1">
        <v>1</v>
      </c>
      <c r="Y81" s="1">
        <f t="shared" si="28"/>
        <v>279</v>
      </c>
      <c r="Z81" s="1">
        <f t="shared" si="29"/>
        <v>106</v>
      </c>
      <c r="AA81" s="1">
        <f t="shared" si="22"/>
        <v>173</v>
      </c>
      <c r="AB81" s="1">
        <f t="shared" si="23"/>
        <v>173</v>
      </c>
      <c r="AC81" s="1">
        <f t="shared" si="24"/>
        <v>0</v>
      </c>
      <c r="AD81" s="1">
        <f t="shared" si="30"/>
        <v>137</v>
      </c>
      <c r="AE81" s="1">
        <f t="shared" si="25"/>
        <v>1</v>
      </c>
      <c r="AF81" s="1">
        <f t="shared" si="31"/>
        <v>134</v>
      </c>
      <c r="AG81" s="1">
        <f t="shared" si="32"/>
        <v>2</v>
      </c>
      <c r="AH81" s="1">
        <f t="shared" si="26"/>
        <v>163</v>
      </c>
      <c r="AI81" s="1">
        <f t="shared" si="33"/>
        <v>125</v>
      </c>
      <c r="AJ81" s="1" t="str">
        <f t="shared" si="34"/>
        <v>PAS DE DATE PAPIER</v>
      </c>
      <c r="AK81" s="1" t="str">
        <f t="shared" si="35"/>
        <v>STOCK</v>
      </c>
      <c r="AL81" s="1">
        <f t="shared" si="36"/>
        <v>123</v>
      </c>
      <c r="AM81" s="1">
        <f t="shared" si="37"/>
        <v>120</v>
      </c>
      <c r="AN81" s="1">
        <f t="shared" si="38"/>
        <v>2</v>
      </c>
      <c r="AO81" s="1">
        <f t="shared" si="21"/>
        <v>38</v>
      </c>
      <c r="AP81" s="1">
        <f t="shared" si="39"/>
        <v>26</v>
      </c>
      <c r="AQ81" s="1">
        <f t="shared" si="27"/>
        <v>10</v>
      </c>
      <c r="AR81" s="1">
        <f t="shared" si="40"/>
        <v>0</v>
      </c>
    </row>
    <row r="82" spans="1:44" x14ac:dyDescent="0.3">
      <c r="A82" s="1">
        <v>25145</v>
      </c>
      <c r="B82" s="1" t="s">
        <v>87</v>
      </c>
      <c r="C82" s="3" t="s">
        <v>88</v>
      </c>
      <c r="D82" s="4">
        <v>100</v>
      </c>
      <c r="E82" s="24">
        <f>_xlfn.XLOOKUP(A82,[1]PONCEBLANC!$Q:$Q,[1]PONCEBLANC!$J:$J,100,0)</f>
        <v>4590</v>
      </c>
      <c r="F82" s="2" t="s">
        <v>185</v>
      </c>
      <c r="G82" s="2">
        <v>45712</v>
      </c>
      <c r="H82" s="2">
        <v>45860</v>
      </c>
      <c r="I82" s="2">
        <v>45861</v>
      </c>
      <c r="J82" s="2">
        <v>46030</v>
      </c>
      <c r="K82" s="2">
        <v>46031</v>
      </c>
      <c r="L82" s="2">
        <v>46028</v>
      </c>
      <c r="N82" s="2">
        <v>46035</v>
      </c>
      <c r="O82" s="2" t="s">
        <v>199</v>
      </c>
      <c r="P82" s="2">
        <v>46045</v>
      </c>
      <c r="Q82" s="2">
        <v>46087</v>
      </c>
      <c r="R82" s="2">
        <v>46101</v>
      </c>
      <c r="S82" s="2">
        <v>46101</v>
      </c>
      <c r="T82" s="2">
        <v>46101</v>
      </c>
      <c r="U82" s="1">
        <v>1</v>
      </c>
      <c r="Y82" s="1">
        <f t="shared" si="28"/>
        <v>279</v>
      </c>
      <c r="Z82" s="1">
        <f t="shared" si="29"/>
        <v>106</v>
      </c>
      <c r="AA82" s="1">
        <f t="shared" si="22"/>
        <v>173</v>
      </c>
      <c r="AB82" s="1">
        <f t="shared" si="23"/>
        <v>173</v>
      </c>
      <c r="AC82" s="1">
        <f t="shared" si="24"/>
        <v>0</v>
      </c>
      <c r="AD82" s="1">
        <f t="shared" si="30"/>
        <v>133</v>
      </c>
      <c r="AE82" s="1">
        <f t="shared" si="25"/>
        <v>1</v>
      </c>
      <c r="AF82" s="1">
        <f t="shared" si="31"/>
        <v>121</v>
      </c>
      <c r="AG82" s="1">
        <f t="shared" si="32"/>
        <v>11</v>
      </c>
      <c r="AH82" s="1">
        <f t="shared" si="26"/>
        <v>163</v>
      </c>
      <c r="AI82" s="1">
        <f t="shared" si="33"/>
        <v>125</v>
      </c>
      <c r="AJ82" s="1" t="str">
        <f t="shared" si="34"/>
        <v>PAS DE DATE PAPIER</v>
      </c>
      <c r="AK82" s="1" t="str">
        <f t="shared" si="35"/>
        <v>STOCK</v>
      </c>
      <c r="AL82" s="1">
        <f t="shared" si="36"/>
        <v>123</v>
      </c>
      <c r="AM82" s="1">
        <f t="shared" si="37"/>
        <v>120</v>
      </c>
      <c r="AN82" s="1">
        <f t="shared" si="38"/>
        <v>2</v>
      </c>
      <c r="AO82" s="1">
        <f t="shared" si="21"/>
        <v>38</v>
      </c>
      <c r="AP82" s="1">
        <f t="shared" si="39"/>
        <v>30</v>
      </c>
      <c r="AQ82" s="1">
        <f t="shared" si="27"/>
        <v>10</v>
      </c>
      <c r="AR82" s="1">
        <f t="shared" si="40"/>
        <v>0</v>
      </c>
    </row>
    <row r="83" spans="1:44" x14ac:dyDescent="0.3">
      <c r="A83" s="1">
        <v>25146</v>
      </c>
      <c r="B83" s="1" t="s">
        <v>9</v>
      </c>
      <c r="C83" s="3" t="s">
        <v>89</v>
      </c>
      <c r="D83" s="4">
        <v>1000</v>
      </c>
      <c r="E83" s="24">
        <f>_xlfn.XLOOKUP(A83,[1]PONCEBLANC!$Q:$Q,[1]PONCEBLANC!$J:$J,100,0)</f>
        <v>14890</v>
      </c>
      <c r="F83" s="2" t="s">
        <v>133</v>
      </c>
      <c r="G83" s="2">
        <v>45699</v>
      </c>
      <c r="H83" s="2">
        <v>45860</v>
      </c>
      <c r="I83" s="2">
        <v>45861</v>
      </c>
      <c r="J83" s="2">
        <v>45909</v>
      </c>
      <c r="K83" s="2">
        <v>45861</v>
      </c>
      <c r="L83" s="2" t="s">
        <v>371</v>
      </c>
      <c r="M83" s="2">
        <v>45896</v>
      </c>
      <c r="N83" s="2">
        <v>45897</v>
      </c>
      <c r="P83" s="2">
        <v>45916</v>
      </c>
      <c r="Q83" s="2">
        <v>45912</v>
      </c>
      <c r="R83" s="2">
        <v>45940</v>
      </c>
      <c r="S83" s="2">
        <v>45940</v>
      </c>
      <c r="T83" s="2">
        <v>45940</v>
      </c>
      <c r="U83" s="1">
        <v>1</v>
      </c>
      <c r="Y83" s="1">
        <f t="shared" si="28"/>
        <v>173</v>
      </c>
      <c r="Z83" s="1">
        <f t="shared" si="29"/>
        <v>115</v>
      </c>
      <c r="AA83" s="1">
        <f t="shared" si="22"/>
        <v>58</v>
      </c>
      <c r="AB83" s="1">
        <f t="shared" si="23"/>
        <v>58</v>
      </c>
      <c r="AC83" s="1">
        <f t="shared" si="24"/>
        <v>0</v>
      </c>
      <c r="AD83" s="1">
        <f t="shared" si="30"/>
        <v>40</v>
      </c>
      <c r="AE83" s="1">
        <f t="shared" si="25"/>
        <v>1</v>
      </c>
      <c r="AF83" s="1">
        <f t="shared" si="31"/>
        <v>34</v>
      </c>
      <c r="AG83" s="1">
        <f t="shared" si="32"/>
        <v>5</v>
      </c>
      <c r="AH83" s="1">
        <f t="shared" si="26"/>
        <v>38</v>
      </c>
      <c r="AI83" s="1">
        <f t="shared" si="33"/>
        <v>27</v>
      </c>
      <c r="AJ83" s="1">
        <f t="shared" si="34"/>
        <v>26</v>
      </c>
      <c r="AK83" s="1" t="str">
        <f t="shared" si="35"/>
        <v>PAS DE DATE CARTON</v>
      </c>
      <c r="AL83" s="1">
        <f t="shared" si="36"/>
        <v>1</v>
      </c>
      <c r="AM83" s="1" t="str">
        <f t="shared" si="37"/>
        <v>REMIS</v>
      </c>
      <c r="AN83" s="1">
        <f t="shared" si="38"/>
        <v>26</v>
      </c>
      <c r="AO83" s="1">
        <f t="shared" si="21"/>
        <v>11</v>
      </c>
      <c r="AP83" s="1">
        <f t="shared" si="39"/>
        <v>2</v>
      </c>
      <c r="AQ83" s="1">
        <f t="shared" si="27"/>
        <v>18</v>
      </c>
      <c r="AR83" s="1">
        <f t="shared" si="40"/>
        <v>0</v>
      </c>
    </row>
    <row r="84" spans="1:44" x14ac:dyDescent="0.3">
      <c r="A84" s="1">
        <v>25147</v>
      </c>
      <c r="B84" s="1" t="s">
        <v>60</v>
      </c>
      <c r="C84" s="3" t="s">
        <v>186</v>
      </c>
      <c r="D84" s="4">
        <v>1000</v>
      </c>
      <c r="E84" s="24">
        <f>_xlfn.XLOOKUP(A84,[1]PONCEBLANC!$Q:$Q,[1]PONCEBLANC!$J:$J,100,0)</f>
        <v>21900</v>
      </c>
      <c r="F84" s="2" t="s">
        <v>191</v>
      </c>
      <c r="G84" s="2">
        <v>45826</v>
      </c>
      <c r="H84" s="2">
        <v>45860</v>
      </c>
      <c r="I84" s="2">
        <v>45861</v>
      </c>
      <c r="J84" s="2">
        <v>45912</v>
      </c>
      <c r="K84" s="2">
        <v>45861</v>
      </c>
      <c r="L84" s="2" t="s">
        <v>315</v>
      </c>
      <c r="N84" s="2">
        <v>45910</v>
      </c>
      <c r="O84" s="2">
        <v>45875</v>
      </c>
      <c r="P84" s="2">
        <v>45947</v>
      </c>
      <c r="Q84" s="2">
        <v>45933</v>
      </c>
      <c r="R84" s="2">
        <v>45961</v>
      </c>
      <c r="S84" s="2">
        <v>45961</v>
      </c>
      <c r="T84" s="2">
        <v>45961</v>
      </c>
      <c r="U84" s="1">
        <v>1</v>
      </c>
      <c r="Y84" s="1">
        <f t="shared" si="28"/>
        <v>97</v>
      </c>
      <c r="Z84" s="1">
        <f t="shared" si="29"/>
        <v>24</v>
      </c>
      <c r="AA84" s="1">
        <f t="shared" si="22"/>
        <v>73</v>
      </c>
      <c r="AB84" s="1">
        <f t="shared" si="23"/>
        <v>73</v>
      </c>
      <c r="AC84" s="1">
        <f t="shared" si="24"/>
        <v>0</v>
      </c>
      <c r="AD84" s="1">
        <f t="shared" si="30"/>
        <v>63</v>
      </c>
      <c r="AE84" s="1">
        <f t="shared" si="25"/>
        <v>1</v>
      </c>
      <c r="AF84" s="1">
        <f t="shared" si="31"/>
        <v>37</v>
      </c>
      <c r="AG84" s="1">
        <f t="shared" si="32"/>
        <v>25</v>
      </c>
      <c r="AH84" s="1">
        <f t="shared" si="26"/>
        <v>53</v>
      </c>
      <c r="AI84" s="1">
        <f t="shared" si="33"/>
        <v>36</v>
      </c>
      <c r="AJ84" s="1" t="str">
        <f t="shared" si="34"/>
        <v>PAS DE DATE PAPIER</v>
      </c>
      <c r="AK84" s="1">
        <f t="shared" si="35"/>
        <v>11</v>
      </c>
      <c r="AL84" s="1">
        <f t="shared" si="36"/>
        <v>1</v>
      </c>
      <c r="AM84" s="1" t="str">
        <f t="shared" si="37"/>
        <v>ANC FAB</v>
      </c>
      <c r="AN84" s="1">
        <f t="shared" si="38"/>
        <v>35</v>
      </c>
      <c r="AO84" s="1">
        <f t="shared" si="21"/>
        <v>17</v>
      </c>
      <c r="AP84" s="1">
        <f t="shared" si="39"/>
        <v>10</v>
      </c>
      <c r="AQ84" s="1">
        <f t="shared" si="27"/>
        <v>10</v>
      </c>
      <c r="AR84" s="1">
        <f t="shared" si="40"/>
        <v>0</v>
      </c>
    </row>
    <row r="85" spans="1:44" x14ac:dyDescent="0.3">
      <c r="A85" s="1">
        <v>25147</v>
      </c>
      <c r="B85" s="1" t="s">
        <v>60</v>
      </c>
      <c r="C85" s="3" t="s">
        <v>187</v>
      </c>
      <c r="D85" s="4">
        <v>1000</v>
      </c>
      <c r="E85" s="24">
        <f>_xlfn.XLOOKUP(A85,[1]PONCEBLANC!$Q:$Q,[1]PONCEBLANC!$J:$J,100,0)</f>
        <v>21900</v>
      </c>
      <c r="F85" s="2" t="s">
        <v>149</v>
      </c>
      <c r="G85" s="2">
        <v>45826</v>
      </c>
      <c r="H85" s="2">
        <v>45860</v>
      </c>
      <c r="I85" s="2">
        <v>45861</v>
      </c>
      <c r="J85" s="2">
        <v>45912</v>
      </c>
      <c r="K85" s="2">
        <v>45861</v>
      </c>
      <c r="L85" s="2">
        <v>45918</v>
      </c>
      <c r="N85" s="2">
        <v>45910</v>
      </c>
      <c r="O85" s="2">
        <v>45875</v>
      </c>
      <c r="P85" s="2">
        <v>45933</v>
      </c>
      <c r="Q85" s="2">
        <v>45933</v>
      </c>
      <c r="R85" s="2">
        <v>45961</v>
      </c>
      <c r="S85" s="2">
        <v>45961</v>
      </c>
      <c r="T85" s="2">
        <v>45961</v>
      </c>
      <c r="U85" s="1">
        <v>1</v>
      </c>
      <c r="Y85" s="1">
        <f t="shared" si="28"/>
        <v>97</v>
      </c>
      <c r="Z85" s="1">
        <f t="shared" si="29"/>
        <v>24</v>
      </c>
      <c r="AA85" s="1">
        <f t="shared" si="22"/>
        <v>73</v>
      </c>
      <c r="AB85" s="1">
        <f t="shared" si="23"/>
        <v>73</v>
      </c>
      <c r="AC85" s="1">
        <f t="shared" si="24"/>
        <v>0</v>
      </c>
      <c r="AD85" s="1">
        <f t="shared" si="30"/>
        <v>53</v>
      </c>
      <c r="AE85" s="1">
        <f t="shared" si="25"/>
        <v>1</v>
      </c>
      <c r="AF85" s="1">
        <f t="shared" si="31"/>
        <v>37</v>
      </c>
      <c r="AG85" s="1">
        <f t="shared" si="32"/>
        <v>15</v>
      </c>
      <c r="AH85" s="1">
        <f t="shared" si="26"/>
        <v>53</v>
      </c>
      <c r="AI85" s="1">
        <f t="shared" si="33"/>
        <v>36</v>
      </c>
      <c r="AJ85" s="1" t="str">
        <f t="shared" si="34"/>
        <v>PAS DE DATE PAPIER</v>
      </c>
      <c r="AK85" s="1">
        <f t="shared" si="35"/>
        <v>11</v>
      </c>
      <c r="AL85" s="1">
        <f t="shared" si="36"/>
        <v>1</v>
      </c>
      <c r="AM85" s="1">
        <f t="shared" si="37"/>
        <v>42</v>
      </c>
      <c r="AN85" s="1">
        <f t="shared" si="38"/>
        <v>-8</v>
      </c>
      <c r="AO85" s="1">
        <f t="shared" si="21"/>
        <v>17</v>
      </c>
      <c r="AP85" s="1">
        <f t="shared" si="39"/>
        <v>0</v>
      </c>
      <c r="AQ85" s="1">
        <f t="shared" si="27"/>
        <v>20</v>
      </c>
      <c r="AR85" s="1">
        <f t="shared" si="40"/>
        <v>0</v>
      </c>
    </row>
    <row r="86" spans="1:44" x14ac:dyDescent="0.3">
      <c r="A86" s="1">
        <v>25147</v>
      </c>
      <c r="B86" s="1" t="s">
        <v>60</v>
      </c>
      <c r="C86" s="3" t="s">
        <v>188</v>
      </c>
      <c r="D86" s="4">
        <v>1000</v>
      </c>
      <c r="E86" s="24">
        <f>_xlfn.XLOOKUP(A86,[1]PONCEBLANC!$Q:$Q,[1]PONCEBLANC!$J:$J,100,0)</f>
        <v>21900</v>
      </c>
      <c r="F86" s="2" t="s">
        <v>149</v>
      </c>
      <c r="G86" s="2">
        <v>45826</v>
      </c>
      <c r="H86" s="2">
        <v>45860</v>
      </c>
      <c r="I86" s="2">
        <v>45861</v>
      </c>
      <c r="J86" s="2">
        <v>45912</v>
      </c>
      <c r="K86" s="2">
        <v>45861</v>
      </c>
      <c r="L86" s="2">
        <v>45918</v>
      </c>
      <c r="N86" s="2">
        <v>45910</v>
      </c>
      <c r="O86" s="2">
        <v>45875</v>
      </c>
      <c r="P86" s="2">
        <v>45933</v>
      </c>
      <c r="Q86" s="2">
        <v>45933</v>
      </c>
      <c r="R86" s="2">
        <v>45954</v>
      </c>
      <c r="S86" s="2">
        <v>45954</v>
      </c>
      <c r="T86" s="2">
        <v>45954</v>
      </c>
      <c r="U86" s="1">
        <v>1</v>
      </c>
      <c r="Y86" s="1">
        <f t="shared" si="28"/>
        <v>92</v>
      </c>
      <c r="Z86" s="1">
        <f t="shared" si="29"/>
        <v>24</v>
      </c>
      <c r="AA86" s="1">
        <f t="shared" si="22"/>
        <v>68</v>
      </c>
      <c r="AB86" s="1">
        <f t="shared" si="23"/>
        <v>68</v>
      </c>
      <c r="AC86" s="1">
        <f t="shared" si="24"/>
        <v>0</v>
      </c>
      <c r="AD86" s="1">
        <f t="shared" si="30"/>
        <v>53</v>
      </c>
      <c r="AE86" s="1">
        <f t="shared" si="25"/>
        <v>1</v>
      </c>
      <c r="AF86" s="1">
        <f t="shared" si="31"/>
        <v>37</v>
      </c>
      <c r="AG86" s="1">
        <f t="shared" si="32"/>
        <v>15</v>
      </c>
      <c r="AH86" s="1">
        <f t="shared" si="26"/>
        <v>53</v>
      </c>
      <c r="AI86" s="1">
        <f t="shared" si="33"/>
        <v>36</v>
      </c>
      <c r="AJ86" s="1" t="str">
        <f t="shared" si="34"/>
        <v>PAS DE DATE PAPIER</v>
      </c>
      <c r="AK86" s="1">
        <f t="shared" si="35"/>
        <v>11</v>
      </c>
      <c r="AL86" s="1">
        <f t="shared" si="36"/>
        <v>1</v>
      </c>
      <c r="AM86" s="1">
        <f t="shared" si="37"/>
        <v>42</v>
      </c>
      <c r="AN86" s="1">
        <f t="shared" si="38"/>
        <v>-8</v>
      </c>
      <c r="AO86" s="1">
        <f t="shared" si="21"/>
        <v>17</v>
      </c>
      <c r="AP86" s="1">
        <f t="shared" si="39"/>
        <v>0</v>
      </c>
      <c r="AQ86" s="1">
        <f t="shared" si="27"/>
        <v>15</v>
      </c>
      <c r="AR86" s="1">
        <f t="shared" si="40"/>
        <v>0</v>
      </c>
    </row>
    <row r="87" spans="1:44" x14ac:dyDescent="0.3">
      <c r="A87" s="1">
        <v>25147</v>
      </c>
      <c r="B87" s="1" t="s">
        <v>60</v>
      </c>
      <c r="C87" s="3" t="s">
        <v>189</v>
      </c>
      <c r="D87" s="4">
        <v>1000</v>
      </c>
      <c r="E87" s="24">
        <f>_xlfn.XLOOKUP(A87,[1]PONCEBLANC!$Q:$Q,[1]PONCEBLANC!$J:$J,100,0)</f>
        <v>21900</v>
      </c>
      <c r="F87" s="2" t="s">
        <v>149</v>
      </c>
      <c r="G87" s="2">
        <v>45826</v>
      </c>
      <c r="H87" s="2">
        <v>45860</v>
      </c>
      <c r="I87" s="2">
        <v>45861</v>
      </c>
      <c r="J87" s="2">
        <v>45912</v>
      </c>
      <c r="K87" s="2">
        <v>45861</v>
      </c>
      <c r="L87" s="2">
        <v>45918</v>
      </c>
      <c r="N87" s="2">
        <v>45910</v>
      </c>
      <c r="O87" s="2">
        <v>45875</v>
      </c>
      <c r="P87" s="2">
        <v>45933</v>
      </c>
      <c r="Q87" s="2">
        <v>45933</v>
      </c>
      <c r="R87" s="2">
        <v>45961</v>
      </c>
      <c r="S87" s="2">
        <v>45961</v>
      </c>
      <c r="T87" s="2">
        <v>45961</v>
      </c>
      <c r="U87" s="1">
        <v>1</v>
      </c>
      <c r="Y87" s="1">
        <f t="shared" si="28"/>
        <v>97</v>
      </c>
      <c r="Z87" s="1">
        <f t="shared" si="29"/>
        <v>24</v>
      </c>
      <c r="AA87" s="1">
        <f t="shared" si="22"/>
        <v>73</v>
      </c>
      <c r="AB87" s="1">
        <f t="shared" si="23"/>
        <v>73</v>
      </c>
      <c r="AC87" s="1">
        <f t="shared" si="24"/>
        <v>0</v>
      </c>
      <c r="AD87" s="1">
        <f t="shared" si="30"/>
        <v>53</v>
      </c>
      <c r="AE87" s="1">
        <f t="shared" si="25"/>
        <v>1</v>
      </c>
      <c r="AF87" s="1">
        <f t="shared" si="31"/>
        <v>37</v>
      </c>
      <c r="AG87" s="1">
        <f t="shared" si="32"/>
        <v>15</v>
      </c>
      <c r="AH87" s="1">
        <f t="shared" si="26"/>
        <v>53</v>
      </c>
      <c r="AI87" s="1">
        <f t="shared" si="33"/>
        <v>36</v>
      </c>
      <c r="AJ87" s="1" t="str">
        <f t="shared" si="34"/>
        <v>PAS DE DATE PAPIER</v>
      </c>
      <c r="AK87" s="1">
        <f t="shared" si="35"/>
        <v>11</v>
      </c>
      <c r="AL87" s="1">
        <f t="shared" si="36"/>
        <v>1</v>
      </c>
      <c r="AM87" s="1">
        <f t="shared" si="37"/>
        <v>42</v>
      </c>
      <c r="AN87" s="1">
        <f t="shared" si="38"/>
        <v>-8</v>
      </c>
      <c r="AO87" s="1">
        <f t="shared" si="21"/>
        <v>17</v>
      </c>
      <c r="AP87" s="1">
        <f t="shared" si="39"/>
        <v>0</v>
      </c>
      <c r="AQ87" s="1">
        <f t="shared" si="27"/>
        <v>20</v>
      </c>
      <c r="AR87" s="1">
        <f t="shared" si="40"/>
        <v>0</v>
      </c>
    </row>
    <row r="88" spans="1:44" x14ac:dyDescent="0.3">
      <c r="A88" s="1">
        <v>25149</v>
      </c>
      <c r="B88" s="1" t="s">
        <v>17</v>
      </c>
      <c r="C88" s="3" t="s">
        <v>90</v>
      </c>
      <c r="D88" s="4">
        <v>900</v>
      </c>
      <c r="E88" s="24">
        <f>_xlfn.XLOOKUP(A88,[1]PONCEBLANC!$Q:$Q,[1]PONCEBLANC!$J:$J,100,0)</f>
        <v>189000</v>
      </c>
      <c r="F88" s="2" t="s">
        <v>192</v>
      </c>
      <c r="G88" s="2">
        <v>45671</v>
      </c>
      <c r="H88" s="2">
        <v>45866</v>
      </c>
      <c r="Y88" s="1" t="str">
        <f t="shared" si="28"/>
        <v>DATE MANQUANTE</v>
      </c>
      <c r="Z88" s="1">
        <f t="shared" si="29"/>
        <v>139</v>
      </c>
      <c r="AA88" s="1" t="str">
        <f t="shared" si="22"/>
        <v>NON LIVRE</v>
      </c>
      <c r="AB88" s="1" t="str">
        <f t="shared" si="23"/>
        <v>NON LIVRE</v>
      </c>
      <c r="AC88" s="1" t="str">
        <f t="shared" si="24"/>
        <v>NON LIVRE</v>
      </c>
      <c r="AD88" s="1" t="str">
        <f t="shared" si="30"/>
        <v>NON LIVRE</v>
      </c>
      <c r="AE88" s="1" t="str">
        <f t="shared" si="25"/>
        <v>NON LIVRE</v>
      </c>
      <c r="AF88" s="1" t="str">
        <f t="shared" si="31"/>
        <v>NON LIVRE</v>
      </c>
      <c r="AG88" s="1" t="str">
        <f t="shared" si="32"/>
        <v>NON LIVRE</v>
      </c>
      <c r="AH88" s="1" t="str">
        <f t="shared" si="26"/>
        <v>NON LIVRE</v>
      </c>
      <c r="AI88" s="1" t="str">
        <f t="shared" si="33"/>
        <v>NON LIVRE</v>
      </c>
      <c r="AJ88" s="1" t="str">
        <f t="shared" si="34"/>
        <v>NON LIVRE</v>
      </c>
      <c r="AK88" s="1" t="str">
        <f t="shared" si="35"/>
        <v>NON LIVRE</v>
      </c>
      <c r="AL88" s="1" t="str">
        <f t="shared" si="36"/>
        <v>NON LIVRE</v>
      </c>
      <c r="AM88" s="1" t="str">
        <f t="shared" si="37"/>
        <v>NON LIVRE</v>
      </c>
      <c r="AN88" s="1" t="str">
        <f t="shared" si="38"/>
        <v>NON LIVRE</v>
      </c>
      <c r="AO88" s="1" t="str">
        <f t="shared" si="21"/>
        <v>NON LIVRE</v>
      </c>
      <c r="AP88" s="1" t="str">
        <f t="shared" si="39"/>
        <v>NON LIVRE</v>
      </c>
      <c r="AQ88" s="1" t="str">
        <f t="shared" si="27"/>
        <v>NON LIVRE</v>
      </c>
      <c r="AR88" s="1" t="str">
        <f t="shared" si="40"/>
        <v>NON LIVRE</v>
      </c>
    </row>
    <row r="89" spans="1:44" x14ac:dyDescent="0.3">
      <c r="A89" s="1">
        <v>25149</v>
      </c>
      <c r="B89" s="1" t="s">
        <v>17</v>
      </c>
      <c r="C89" s="3" t="s">
        <v>90</v>
      </c>
      <c r="D89" s="4">
        <f>8*900</f>
        <v>7200</v>
      </c>
      <c r="E89" s="24">
        <f>_xlfn.XLOOKUP(A89,[1]PONCEBLANC!$Q:$Q,[1]PONCEBLANC!$J:$J,100,0)</f>
        <v>189000</v>
      </c>
      <c r="F89" s="2" t="s">
        <v>190</v>
      </c>
      <c r="G89" s="2">
        <v>45671</v>
      </c>
      <c r="H89" s="2">
        <v>45866</v>
      </c>
      <c r="Y89" s="1" t="str">
        <f t="shared" si="28"/>
        <v>DATE MANQUANTE</v>
      </c>
      <c r="Z89" s="1">
        <f t="shared" si="29"/>
        <v>139</v>
      </c>
      <c r="AA89" s="1" t="str">
        <f t="shared" si="22"/>
        <v>NON LIVRE</v>
      </c>
      <c r="AB89" s="1" t="str">
        <f t="shared" si="23"/>
        <v>NON LIVRE</v>
      </c>
      <c r="AC89" s="1" t="str">
        <f t="shared" si="24"/>
        <v>NON LIVRE</v>
      </c>
      <c r="AD89" s="1" t="str">
        <f t="shared" si="30"/>
        <v>NON LIVRE</v>
      </c>
      <c r="AE89" s="1" t="str">
        <f t="shared" si="25"/>
        <v>NON LIVRE</v>
      </c>
      <c r="AF89" s="1" t="str">
        <f t="shared" si="31"/>
        <v>NON LIVRE</v>
      </c>
      <c r="AG89" s="1" t="str">
        <f t="shared" si="32"/>
        <v>NON LIVRE</v>
      </c>
      <c r="AH89" s="1" t="str">
        <f t="shared" si="26"/>
        <v>NON LIVRE</v>
      </c>
      <c r="AI89" s="1" t="str">
        <f t="shared" si="33"/>
        <v>NON LIVRE</v>
      </c>
      <c r="AJ89" s="1" t="str">
        <f t="shared" si="34"/>
        <v>NON LIVRE</v>
      </c>
      <c r="AK89" s="1" t="str">
        <f t="shared" si="35"/>
        <v>NON LIVRE</v>
      </c>
      <c r="AL89" s="1" t="str">
        <f t="shared" si="36"/>
        <v>NON LIVRE</v>
      </c>
      <c r="AM89" s="1" t="str">
        <f t="shared" si="37"/>
        <v>NON LIVRE</v>
      </c>
      <c r="AN89" s="1" t="str">
        <f t="shared" si="38"/>
        <v>NON LIVRE</v>
      </c>
      <c r="AO89" s="1" t="str">
        <f t="shared" si="21"/>
        <v>NON LIVRE</v>
      </c>
      <c r="AP89" s="1" t="str">
        <f t="shared" si="39"/>
        <v>NON LIVRE</v>
      </c>
      <c r="AQ89" s="1" t="str">
        <f t="shared" si="27"/>
        <v>NON LIVRE</v>
      </c>
      <c r="AR89" s="1" t="str">
        <f t="shared" si="40"/>
        <v>NON LIVRE</v>
      </c>
    </row>
    <row r="90" spans="1:44" x14ac:dyDescent="0.3">
      <c r="A90" s="1">
        <v>25150</v>
      </c>
      <c r="B90" s="1" t="s">
        <v>91</v>
      </c>
      <c r="C90" s="3" t="s">
        <v>92</v>
      </c>
      <c r="D90" s="4">
        <v>1020</v>
      </c>
      <c r="E90" s="24">
        <f>_xlfn.XLOOKUP(A90,[1]PONCEBLANC!$Q:$Q,[1]PONCEBLANC!$J:$J,100,0)</f>
        <v>11955</v>
      </c>
      <c r="F90" s="2" t="s">
        <v>136</v>
      </c>
      <c r="G90" s="2">
        <v>45847</v>
      </c>
      <c r="H90" s="2">
        <v>45867</v>
      </c>
      <c r="I90" s="2">
        <v>45868</v>
      </c>
      <c r="J90" s="2">
        <v>45898</v>
      </c>
      <c r="K90" s="2">
        <v>45870</v>
      </c>
      <c r="L90" s="2" t="s">
        <v>315</v>
      </c>
      <c r="N90" s="2">
        <v>45903</v>
      </c>
      <c r="O90" s="2">
        <v>45908</v>
      </c>
      <c r="P90" s="2">
        <v>45912</v>
      </c>
      <c r="Q90" s="2">
        <v>45916</v>
      </c>
      <c r="R90" s="2">
        <v>45940</v>
      </c>
      <c r="S90" s="2">
        <v>45940</v>
      </c>
      <c r="T90" s="2">
        <v>45940</v>
      </c>
      <c r="U90" s="1">
        <v>1</v>
      </c>
      <c r="Y90" s="1">
        <f t="shared" si="28"/>
        <v>67</v>
      </c>
      <c r="Z90" s="1">
        <f t="shared" si="29"/>
        <v>14</v>
      </c>
      <c r="AA90" s="1">
        <f t="shared" si="22"/>
        <v>53</v>
      </c>
      <c r="AB90" s="1">
        <f t="shared" si="23"/>
        <v>53</v>
      </c>
      <c r="AC90" s="1">
        <f t="shared" si="24"/>
        <v>0</v>
      </c>
      <c r="AD90" s="1">
        <f t="shared" si="30"/>
        <v>33</v>
      </c>
      <c r="AE90" s="1">
        <f t="shared" si="25"/>
        <v>1</v>
      </c>
      <c r="AF90" s="1">
        <f t="shared" si="31"/>
        <v>22</v>
      </c>
      <c r="AG90" s="1">
        <f t="shared" si="32"/>
        <v>10</v>
      </c>
      <c r="AH90" s="1">
        <f t="shared" si="26"/>
        <v>35</v>
      </c>
      <c r="AI90" s="1">
        <f t="shared" si="33"/>
        <v>26</v>
      </c>
      <c r="AJ90" s="1" t="str">
        <f t="shared" si="34"/>
        <v>PAS DE DATE PAPIER</v>
      </c>
      <c r="AK90" s="1">
        <f t="shared" si="35"/>
        <v>29</v>
      </c>
      <c r="AL90" s="1">
        <f t="shared" si="36"/>
        <v>3</v>
      </c>
      <c r="AM90" s="1" t="str">
        <f t="shared" si="37"/>
        <v>ANC FAB</v>
      </c>
      <c r="AN90" s="1">
        <f t="shared" si="38"/>
        <v>23</v>
      </c>
      <c r="AO90" s="1">
        <f t="shared" si="21"/>
        <v>9</v>
      </c>
      <c r="AP90" s="1">
        <f t="shared" si="39"/>
        <v>2</v>
      </c>
      <c r="AQ90" s="1">
        <f t="shared" si="27"/>
        <v>18</v>
      </c>
      <c r="AR90" s="1">
        <f t="shared" si="40"/>
        <v>0</v>
      </c>
    </row>
    <row r="91" spans="1:44" x14ac:dyDescent="0.3">
      <c r="A91" s="1">
        <v>25151</v>
      </c>
      <c r="B91" s="1" t="s">
        <v>93</v>
      </c>
      <c r="C91" s="3" t="s">
        <v>94</v>
      </c>
      <c r="D91" s="4">
        <v>1190</v>
      </c>
      <c r="E91" s="24">
        <f>_xlfn.XLOOKUP(A91,[1]PONCEBLANC!$Q:$Q,[1]PONCEBLANC!$J:$J,100,0)</f>
        <v>32546.5</v>
      </c>
      <c r="F91" s="2" t="s">
        <v>156</v>
      </c>
      <c r="G91" s="2">
        <v>45855</v>
      </c>
      <c r="H91" s="2">
        <v>45867</v>
      </c>
      <c r="I91" s="2">
        <v>45875</v>
      </c>
      <c r="J91" s="2">
        <v>45922</v>
      </c>
      <c r="K91" s="2">
        <v>45943</v>
      </c>
      <c r="L91" s="2">
        <v>45945</v>
      </c>
      <c r="N91" s="2">
        <v>45954</v>
      </c>
      <c r="O91" s="2">
        <v>45933</v>
      </c>
      <c r="P91" s="2">
        <v>45939</v>
      </c>
      <c r="Q91" s="2">
        <v>45968</v>
      </c>
      <c r="R91" s="2">
        <v>45996</v>
      </c>
      <c r="S91" s="2">
        <v>45996</v>
      </c>
      <c r="T91" s="2">
        <v>45996</v>
      </c>
      <c r="U91" s="1">
        <v>1</v>
      </c>
      <c r="Y91" s="1">
        <f t="shared" si="28"/>
        <v>101</v>
      </c>
      <c r="Z91" s="1">
        <f t="shared" si="29"/>
        <v>8</v>
      </c>
      <c r="AA91" s="1">
        <f t="shared" si="22"/>
        <v>93</v>
      </c>
      <c r="AB91" s="1">
        <f t="shared" si="23"/>
        <v>93</v>
      </c>
      <c r="AC91" s="1">
        <f t="shared" si="24"/>
        <v>0</v>
      </c>
      <c r="AD91" s="1">
        <f t="shared" si="30"/>
        <v>52</v>
      </c>
      <c r="AE91" s="1">
        <f t="shared" si="25"/>
        <v>6</v>
      </c>
      <c r="AF91" s="1">
        <f t="shared" si="31"/>
        <v>33</v>
      </c>
      <c r="AG91" s="1">
        <f t="shared" si="32"/>
        <v>13</v>
      </c>
      <c r="AH91" s="1">
        <f t="shared" si="26"/>
        <v>73</v>
      </c>
      <c r="AI91" s="1">
        <f t="shared" si="33"/>
        <v>63</v>
      </c>
      <c r="AJ91" s="1" t="str">
        <f t="shared" si="34"/>
        <v>PAS DE DATE PAPIER</v>
      </c>
      <c r="AK91" s="1">
        <f t="shared" si="35"/>
        <v>48</v>
      </c>
      <c r="AL91" s="1">
        <f t="shared" si="36"/>
        <v>54</v>
      </c>
      <c r="AM91" s="1">
        <f t="shared" si="37"/>
        <v>56</v>
      </c>
      <c r="AN91" s="1">
        <f t="shared" si="38"/>
        <v>7</v>
      </c>
      <c r="AO91" s="1">
        <f t="shared" si="21"/>
        <v>10</v>
      </c>
      <c r="AP91" s="1">
        <f t="shared" si="39"/>
        <v>21</v>
      </c>
      <c r="AQ91" s="1">
        <f t="shared" si="27"/>
        <v>20</v>
      </c>
      <c r="AR91" s="1">
        <f t="shared" si="40"/>
        <v>0</v>
      </c>
    </row>
    <row r="92" spans="1:44" x14ac:dyDescent="0.3">
      <c r="A92" s="1">
        <v>25152</v>
      </c>
      <c r="B92" s="1" t="s">
        <v>93</v>
      </c>
      <c r="C92" s="3" t="s">
        <v>95</v>
      </c>
      <c r="D92" s="4">
        <v>450</v>
      </c>
      <c r="E92" s="24">
        <f>_xlfn.XLOOKUP(A92,[1]PONCEBLANC!$Q:$Q,[1]PONCEBLANC!$J:$J,100,0)</f>
        <v>17977.5</v>
      </c>
      <c r="F92" s="2" t="s">
        <v>156</v>
      </c>
      <c r="G92" s="2">
        <v>45855</v>
      </c>
      <c r="H92" s="2">
        <v>45867</v>
      </c>
      <c r="I92" s="2">
        <v>45875</v>
      </c>
      <c r="J92" s="2">
        <v>45922</v>
      </c>
      <c r="K92" s="2">
        <v>45938</v>
      </c>
      <c r="L92" s="2">
        <v>45959</v>
      </c>
      <c r="M92" s="2">
        <v>45938</v>
      </c>
      <c r="N92" s="2">
        <v>45954</v>
      </c>
      <c r="O92" s="2">
        <v>45908</v>
      </c>
      <c r="P92" s="2">
        <v>45933</v>
      </c>
      <c r="Q92" s="2">
        <v>45961</v>
      </c>
      <c r="R92" s="2">
        <v>45989</v>
      </c>
      <c r="S92" s="2">
        <v>45989</v>
      </c>
      <c r="T92" s="2">
        <v>45989</v>
      </c>
      <c r="U92" s="1">
        <v>1</v>
      </c>
      <c r="Y92" s="1">
        <f t="shared" si="28"/>
        <v>96</v>
      </c>
      <c r="Z92" s="1">
        <f t="shared" si="29"/>
        <v>8</v>
      </c>
      <c r="AA92" s="1">
        <f t="shared" si="22"/>
        <v>88</v>
      </c>
      <c r="AB92" s="1">
        <f t="shared" si="23"/>
        <v>88</v>
      </c>
      <c r="AC92" s="1">
        <f t="shared" si="24"/>
        <v>0</v>
      </c>
      <c r="AD92" s="1">
        <f t="shared" si="30"/>
        <v>48</v>
      </c>
      <c r="AE92" s="1">
        <f t="shared" si="25"/>
        <v>6</v>
      </c>
      <c r="AF92" s="1">
        <f t="shared" si="31"/>
        <v>33</v>
      </c>
      <c r="AG92" s="1">
        <f t="shared" si="32"/>
        <v>9</v>
      </c>
      <c r="AH92" s="1">
        <f t="shared" si="26"/>
        <v>68</v>
      </c>
      <c r="AI92" s="1">
        <f t="shared" si="33"/>
        <v>63</v>
      </c>
      <c r="AJ92" s="1">
        <f t="shared" si="34"/>
        <v>51</v>
      </c>
      <c r="AK92" s="1">
        <f t="shared" si="35"/>
        <v>29</v>
      </c>
      <c r="AL92" s="1">
        <f t="shared" si="36"/>
        <v>51</v>
      </c>
      <c r="AM92" s="1">
        <f t="shared" si="37"/>
        <v>66</v>
      </c>
      <c r="AN92" s="1">
        <f t="shared" si="38"/>
        <v>-5</v>
      </c>
      <c r="AO92" s="1">
        <f t="shared" si="21"/>
        <v>5</v>
      </c>
      <c r="AP92" s="1">
        <f t="shared" si="39"/>
        <v>20</v>
      </c>
      <c r="AQ92" s="1">
        <f t="shared" si="27"/>
        <v>20</v>
      </c>
      <c r="AR92" s="1">
        <f t="shared" si="40"/>
        <v>0</v>
      </c>
    </row>
    <row r="93" spans="1:44" x14ac:dyDescent="0.3">
      <c r="A93" s="1">
        <v>25154</v>
      </c>
      <c r="B93" s="1" t="s">
        <v>41</v>
      </c>
      <c r="C93" s="3" t="s">
        <v>96</v>
      </c>
      <c r="D93" s="4">
        <v>250</v>
      </c>
      <c r="E93" s="24">
        <f>_xlfn.XLOOKUP(A93,[1]PONCEBLANC!$Q:$Q,[1]PONCEBLANC!$J:$J,100,0)</f>
        <v>100</v>
      </c>
      <c r="F93" s="2" t="s">
        <v>182</v>
      </c>
      <c r="G93" s="2" t="s">
        <v>450</v>
      </c>
      <c r="H93" s="2">
        <v>45867</v>
      </c>
      <c r="J93" s="2">
        <v>45973</v>
      </c>
      <c r="P93" s="2">
        <v>45975</v>
      </c>
      <c r="R93" s="2">
        <v>45989</v>
      </c>
      <c r="S93" s="2">
        <v>45989</v>
      </c>
      <c r="T93" s="2">
        <v>45989</v>
      </c>
      <c r="U93" s="1">
        <v>1</v>
      </c>
      <c r="Y93" s="1" t="str">
        <f t="shared" si="28"/>
        <v>DATE MANQUANTE</v>
      </c>
      <c r="Z93" s="1" t="str">
        <f t="shared" si="29"/>
        <v>DATE MANQUANTE</v>
      </c>
      <c r="AA93" s="1">
        <f t="shared" si="22"/>
        <v>88</v>
      </c>
      <c r="AB93" s="1">
        <f t="shared" si="23"/>
        <v>88</v>
      </c>
      <c r="AC93" s="1">
        <f t="shared" si="24"/>
        <v>0</v>
      </c>
      <c r="AD93" s="1">
        <f t="shared" si="30"/>
        <v>78</v>
      </c>
      <c r="AE93" s="1" t="str">
        <f t="shared" si="25"/>
        <v>PAS DE COMMANDE MATIERE</v>
      </c>
      <c r="AF93" s="1">
        <f t="shared" si="31"/>
        <v>32837</v>
      </c>
      <c r="AG93" s="1">
        <f t="shared" si="32"/>
        <v>2</v>
      </c>
      <c r="AH93" s="1" t="str">
        <f t="shared" si="26"/>
        <v>PAS DE DEPART TIRAGES OU ACHATS</v>
      </c>
      <c r="AI93" s="1" t="str">
        <f t="shared" si="33"/>
        <v>PAS DE DATE IMPRESSION</v>
      </c>
      <c r="AJ93" s="1" t="str">
        <f t="shared" si="34"/>
        <v>PAS DE DATE PAPIER</v>
      </c>
      <c r="AK93" s="1" t="str">
        <f t="shared" si="35"/>
        <v>PAS DE DATE CARTON</v>
      </c>
      <c r="AL93" s="1" t="str">
        <f t="shared" si="36"/>
        <v>PAS DE DATE FICHIER</v>
      </c>
      <c r="AM93" s="1" t="str">
        <f t="shared" si="37"/>
        <v>PAS DE DATE VALIDATION MODELE CLIENT</v>
      </c>
      <c r="AN93" s="1" t="str">
        <f t="shared" si="38"/>
        <v>PAS DE DATE IMPRESSION</v>
      </c>
      <c r="AO93" s="1" t="str">
        <f t="shared" si="21"/>
        <v>PAS D'IMPRESSION</v>
      </c>
      <c r="AP93" s="1">
        <f t="shared" si="39"/>
        <v>0</v>
      </c>
      <c r="AQ93" s="1">
        <f t="shared" si="27"/>
        <v>10</v>
      </c>
      <c r="AR93" s="1" t="str">
        <f t="shared" si="40"/>
        <v>PAS DE DATE VALIDATION MODELE CLIENT</v>
      </c>
    </row>
    <row r="94" spans="1:44" x14ac:dyDescent="0.3">
      <c r="A94" s="1">
        <v>25155</v>
      </c>
      <c r="B94" s="1" t="s">
        <v>97</v>
      </c>
      <c r="C94" s="3" t="s">
        <v>98</v>
      </c>
      <c r="D94" s="4">
        <v>2500</v>
      </c>
      <c r="E94" s="24">
        <f>_xlfn.XLOOKUP(A94,[1]PONCEBLANC!$Q:$Q,[1]PONCEBLANC!$J:$J,100,0)</f>
        <v>11875</v>
      </c>
      <c r="F94" s="2" t="s">
        <v>136</v>
      </c>
      <c r="G94" s="2">
        <v>45803</v>
      </c>
      <c r="H94" s="2">
        <v>45868</v>
      </c>
      <c r="I94" s="2">
        <v>45868</v>
      </c>
      <c r="J94" s="2">
        <v>45905</v>
      </c>
      <c r="K94" s="2">
        <v>45887</v>
      </c>
      <c r="L94" s="2">
        <v>45901</v>
      </c>
      <c r="N94" s="2">
        <v>45909</v>
      </c>
      <c r="O94" s="2">
        <v>45908</v>
      </c>
      <c r="P94" s="2">
        <v>45939</v>
      </c>
      <c r="Q94" s="2">
        <v>45911</v>
      </c>
      <c r="R94" s="2">
        <v>45940</v>
      </c>
      <c r="S94" s="2">
        <v>45940</v>
      </c>
      <c r="T94" s="2">
        <v>45954</v>
      </c>
      <c r="U94" s="1">
        <v>3</v>
      </c>
      <c r="Y94" s="1">
        <f t="shared" si="28"/>
        <v>109</v>
      </c>
      <c r="Z94" s="1">
        <f t="shared" si="29"/>
        <v>47</v>
      </c>
      <c r="AA94" s="1">
        <f t="shared" si="22"/>
        <v>62</v>
      </c>
      <c r="AB94" s="1">
        <f t="shared" si="23"/>
        <v>52</v>
      </c>
      <c r="AC94" s="1">
        <f t="shared" si="24"/>
        <v>0</v>
      </c>
      <c r="AD94" s="1">
        <f t="shared" si="30"/>
        <v>51</v>
      </c>
      <c r="AE94" s="1">
        <f t="shared" si="25"/>
        <v>0</v>
      </c>
      <c r="AF94" s="1">
        <f t="shared" si="31"/>
        <v>27</v>
      </c>
      <c r="AG94" s="1">
        <f t="shared" si="32"/>
        <v>24</v>
      </c>
      <c r="AH94" s="1">
        <f t="shared" si="26"/>
        <v>31</v>
      </c>
      <c r="AI94" s="1">
        <f t="shared" si="33"/>
        <v>29</v>
      </c>
      <c r="AJ94" s="1" t="str">
        <f t="shared" si="34"/>
        <v>PAS DE DATE PAPIER</v>
      </c>
      <c r="AK94" s="1">
        <f t="shared" si="35"/>
        <v>28</v>
      </c>
      <c r="AL94" s="1">
        <f t="shared" si="36"/>
        <v>13</v>
      </c>
      <c r="AM94" s="1">
        <f t="shared" si="37"/>
        <v>23</v>
      </c>
      <c r="AN94" s="1">
        <f t="shared" si="38"/>
        <v>6</v>
      </c>
      <c r="AO94" s="1">
        <f t="shared" si="21"/>
        <v>2</v>
      </c>
      <c r="AP94" s="1">
        <f t="shared" si="39"/>
        <v>20</v>
      </c>
      <c r="AQ94" s="1">
        <f t="shared" si="27"/>
        <v>1</v>
      </c>
      <c r="AR94" s="1">
        <f t="shared" si="40"/>
        <v>10</v>
      </c>
    </row>
    <row r="95" spans="1:44" x14ac:dyDescent="0.3">
      <c r="A95" s="1">
        <v>25156</v>
      </c>
      <c r="B95" s="1" t="s">
        <v>34</v>
      </c>
      <c r="C95" s="3" t="s">
        <v>99</v>
      </c>
      <c r="D95" s="4">
        <v>500</v>
      </c>
      <c r="E95" s="24">
        <f>_xlfn.XLOOKUP(A95,[1]PONCEBLANC!$Q:$Q,[1]PONCEBLANC!$J:$J,100,0)</f>
        <v>12350</v>
      </c>
      <c r="F95" s="2" t="s">
        <v>149</v>
      </c>
      <c r="G95" s="2">
        <v>45762</v>
      </c>
      <c r="H95" s="2">
        <v>45869</v>
      </c>
      <c r="I95" s="2">
        <v>45959</v>
      </c>
      <c r="J95" s="2">
        <v>45980</v>
      </c>
      <c r="K95" s="2">
        <v>46351</v>
      </c>
      <c r="L95" s="2">
        <v>45993</v>
      </c>
      <c r="N95" s="2">
        <v>46001</v>
      </c>
      <c r="O95" s="2">
        <v>45908</v>
      </c>
      <c r="P95" s="2">
        <v>46009</v>
      </c>
      <c r="Q95" s="2">
        <v>46010</v>
      </c>
      <c r="R95" s="2">
        <v>46038</v>
      </c>
      <c r="S95" s="2">
        <v>46038</v>
      </c>
      <c r="T95" s="2">
        <v>46038</v>
      </c>
      <c r="U95" s="1">
        <v>1</v>
      </c>
      <c r="Y95" s="1">
        <f t="shared" si="28"/>
        <v>198</v>
      </c>
      <c r="Z95" s="1">
        <f t="shared" si="29"/>
        <v>77</v>
      </c>
      <c r="AA95" s="1">
        <f t="shared" si="22"/>
        <v>121</v>
      </c>
      <c r="AB95" s="1">
        <f t="shared" si="23"/>
        <v>121</v>
      </c>
      <c r="AC95" s="1">
        <f t="shared" si="24"/>
        <v>0</v>
      </c>
      <c r="AD95" s="1">
        <f t="shared" si="30"/>
        <v>100</v>
      </c>
      <c r="AE95" s="1">
        <f t="shared" si="25"/>
        <v>64</v>
      </c>
      <c r="AF95" s="1">
        <f t="shared" si="31"/>
        <v>15</v>
      </c>
      <c r="AG95" s="1">
        <f t="shared" si="32"/>
        <v>21</v>
      </c>
      <c r="AH95" s="1">
        <f t="shared" si="26"/>
        <v>101</v>
      </c>
      <c r="AI95" s="1">
        <f t="shared" si="33"/>
        <v>94</v>
      </c>
      <c r="AJ95" s="1" t="str">
        <f t="shared" si="34"/>
        <v>PAS DE DATE PAPIER</v>
      </c>
      <c r="AK95" s="1">
        <f t="shared" si="35"/>
        <v>27</v>
      </c>
      <c r="AL95" s="1">
        <f t="shared" si="36"/>
        <v>344</v>
      </c>
      <c r="AM95" s="1">
        <f t="shared" si="37"/>
        <v>88</v>
      </c>
      <c r="AN95" s="1">
        <f t="shared" si="38"/>
        <v>-252</v>
      </c>
      <c r="AO95" s="1">
        <f t="shared" si="21"/>
        <v>7</v>
      </c>
      <c r="AP95" s="1">
        <f t="shared" si="39"/>
        <v>1</v>
      </c>
      <c r="AQ95" s="1">
        <f t="shared" si="27"/>
        <v>20</v>
      </c>
      <c r="AR95" s="1">
        <f t="shared" si="40"/>
        <v>0</v>
      </c>
    </row>
    <row r="96" spans="1:44" x14ac:dyDescent="0.3">
      <c r="A96" s="1">
        <v>25157</v>
      </c>
      <c r="B96" s="1" t="s">
        <v>34</v>
      </c>
      <c r="C96" s="3" t="s">
        <v>100</v>
      </c>
      <c r="D96" s="4">
        <v>2000</v>
      </c>
      <c r="E96" s="24">
        <f>_xlfn.XLOOKUP(A96,[1]PONCEBLANC!$Q:$Q,[1]PONCEBLANC!$J:$J,100,0)</f>
        <v>7760</v>
      </c>
      <c r="F96" s="2" t="s">
        <v>165</v>
      </c>
      <c r="G96" s="2">
        <v>45762</v>
      </c>
      <c r="H96" s="2">
        <v>45869</v>
      </c>
      <c r="I96" s="2">
        <v>45874</v>
      </c>
      <c r="J96" s="2">
        <v>45908</v>
      </c>
      <c r="K96" s="2">
        <v>45904</v>
      </c>
      <c r="L96" s="2">
        <v>45918</v>
      </c>
      <c r="N96" s="2">
        <v>45936</v>
      </c>
      <c r="O96" s="2">
        <v>45936</v>
      </c>
      <c r="P96" s="2">
        <v>45939</v>
      </c>
      <c r="Q96" s="2">
        <v>45946</v>
      </c>
      <c r="R96" s="2">
        <v>45982</v>
      </c>
      <c r="S96" s="2">
        <v>45982</v>
      </c>
      <c r="T96" s="2">
        <v>45982</v>
      </c>
      <c r="U96" s="1">
        <v>1</v>
      </c>
      <c r="Y96" s="1">
        <f t="shared" si="28"/>
        <v>158</v>
      </c>
      <c r="Z96" s="1">
        <f t="shared" si="29"/>
        <v>77</v>
      </c>
      <c r="AA96" s="1">
        <f t="shared" si="22"/>
        <v>81</v>
      </c>
      <c r="AB96" s="1">
        <f t="shared" si="23"/>
        <v>81</v>
      </c>
      <c r="AC96" s="1">
        <f t="shared" si="24"/>
        <v>0</v>
      </c>
      <c r="AD96" s="1">
        <f t="shared" si="30"/>
        <v>50</v>
      </c>
      <c r="AE96" s="1">
        <f t="shared" si="25"/>
        <v>3</v>
      </c>
      <c r="AF96" s="1">
        <f t="shared" si="31"/>
        <v>24</v>
      </c>
      <c r="AG96" s="1">
        <f t="shared" si="32"/>
        <v>23</v>
      </c>
      <c r="AH96" s="1">
        <f t="shared" si="26"/>
        <v>55</v>
      </c>
      <c r="AI96" s="1">
        <f t="shared" si="33"/>
        <v>47</v>
      </c>
      <c r="AJ96" s="1" t="str">
        <f t="shared" si="34"/>
        <v>PAS DE DATE PAPIER</v>
      </c>
      <c r="AK96" s="1">
        <f t="shared" si="35"/>
        <v>47</v>
      </c>
      <c r="AL96" s="1">
        <f t="shared" si="36"/>
        <v>25</v>
      </c>
      <c r="AM96" s="1">
        <f t="shared" si="37"/>
        <v>35</v>
      </c>
      <c r="AN96" s="1">
        <f t="shared" si="38"/>
        <v>12</v>
      </c>
      <c r="AO96" s="1">
        <f t="shared" si="21"/>
        <v>8</v>
      </c>
      <c r="AP96" s="1">
        <f t="shared" si="39"/>
        <v>5</v>
      </c>
      <c r="AQ96" s="1">
        <f t="shared" si="27"/>
        <v>26</v>
      </c>
      <c r="AR96" s="1">
        <f t="shared" si="40"/>
        <v>0</v>
      </c>
    </row>
    <row r="97" spans="1:44" x14ac:dyDescent="0.3">
      <c r="A97" s="1">
        <v>25158</v>
      </c>
      <c r="B97" s="1" t="s">
        <v>101</v>
      </c>
      <c r="C97" s="3" t="s">
        <v>102</v>
      </c>
      <c r="D97" s="4">
        <v>1000</v>
      </c>
      <c r="E97" s="24">
        <f>_xlfn.XLOOKUP(A97,[1]PONCEBLANC!$Q:$Q,[1]PONCEBLANC!$J:$J,100,0)</f>
        <v>6480</v>
      </c>
      <c r="F97" s="2" t="s">
        <v>193</v>
      </c>
      <c r="G97" s="2">
        <v>45805</v>
      </c>
      <c r="H97" s="2">
        <v>45869</v>
      </c>
      <c r="I97" s="2" t="s">
        <v>369</v>
      </c>
      <c r="J97" s="2">
        <v>45961</v>
      </c>
      <c r="K97" s="2">
        <v>45923</v>
      </c>
      <c r="L97" s="2">
        <v>45961</v>
      </c>
      <c r="M97" s="2">
        <v>45924</v>
      </c>
      <c r="N97" s="2">
        <v>45930</v>
      </c>
      <c r="P97" s="2">
        <v>46010</v>
      </c>
      <c r="Q97" s="2">
        <v>45961</v>
      </c>
      <c r="R97" s="2">
        <v>45996</v>
      </c>
      <c r="S97" s="2">
        <v>45996</v>
      </c>
      <c r="T97" s="2">
        <v>46038</v>
      </c>
      <c r="U97" s="1">
        <v>3</v>
      </c>
      <c r="Y97" s="1">
        <f t="shared" si="28"/>
        <v>167</v>
      </c>
      <c r="Z97" s="1">
        <f t="shared" si="29"/>
        <v>46</v>
      </c>
      <c r="AA97" s="1">
        <f t="shared" si="22"/>
        <v>121</v>
      </c>
      <c r="AB97" s="1">
        <f t="shared" si="23"/>
        <v>91</v>
      </c>
      <c r="AC97" s="1">
        <f t="shared" si="24"/>
        <v>0</v>
      </c>
      <c r="AD97" s="1">
        <f t="shared" si="30"/>
        <v>101</v>
      </c>
      <c r="AE97" s="1" t="str">
        <f t="shared" si="25"/>
        <v>DEVIS</v>
      </c>
      <c r="AF97" s="1">
        <f t="shared" si="31"/>
        <v>45961</v>
      </c>
      <c r="AG97" s="1">
        <f t="shared" si="32"/>
        <v>35</v>
      </c>
      <c r="AH97" s="1">
        <f t="shared" si="26"/>
        <v>66</v>
      </c>
      <c r="AI97" s="1">
        <f t="shared" si="33"/>
        <v>43</v>
      </c>
      <c r="AJ97" s="1">
        <f t="shared" si="34"/>
        <v>39</v>
      </c>
      <c r="AK97" s="1" t="str">
        <f t="shared" si="35"/>
        <v>PAS DE DATE CARTON</v>
      </c>
      <c r="AL97" s="1">
        <f t="shared" si="36"/>
        <v>38</v>
      </c>
      <c r="AM97" s="1">
        <f t="shared" si="37"/>
        <v>66</v>
      </c>
      <c r="AN97" s="1">
        <f t="shared" si="38"/>
        <v>-25</v>
      </c>
      <c r="AO97" s="1">
        <f t="shared" si="21"/>
        <v>23</v>
      </c>
      <c r="AP97" s="1">
        <f t="shared" si="39"/>
        <v>35</v>
      </c>
      <c r="AQ97" s="1">
        <f t="shared" si="27"/>
        <v>-12</v>
      </c>
      <c r="AR97" s="1">
        <f t="shared" si="40"/>
        <v>30</v>
      </c>
    </row>
    <row r="98" spans="1:44" x14ac:dyDescent="0.3">
      <c r="A98" s="1">
        <v>25159</v>
      </c>
      <c r="B98" s="1" t="s">
        <v>73</v>
      </c>
      <c r="C98" s="3" t="s">
        <v>103</v>
      </c>
      <c r="D98" s="4">
        <v>900</v>
      </c>
      <c r="E98" s="24">
        <f>_xlfn.XLOOKUP(A98,[1]PONCEBLANC!$Q:$Q,[1]PONCEBLANC!$J:$J,100,0)</f>
        <v>100</v>
      </c>
      <c r="F98" s="2" t="s">
        <v>153</v>
      </c>
      <c r="G98" s="2" t="s">
        <v>450</v>
      </c>
      <c r="H98" s="2">
        <v>45895</v>
      </c>
      <c r="I98" s="2" t="s">
        <v>373</v>
      </c>
      <c r="J98" s="2" t="s">
        <v>373</v>
      </c>
      <c r="N98" s="2">
        <v>45870</v>
      </c>
      <c r="P98" s="2" t="s">
        <v>373</v>
      </c>
      <c r="Q98" s="2">
        <v>45905</v>
      </c>
      <c r="R98" s="2">
        <v>45933</v>
      </c>
      <c r="S98" s="2">
        <v>45933</v>
      </c>
      <c r="T98" s="2">
        <v>45933</v>
      </c>
      <c r="U98" s="1">
        <v>1</v>
      </c>
      <c r="Y98" s="1" t="str">
        <f t="shared" si="28"/>
        <v>DATE MANQUANTE</v>
      </c>
      <c r="Z98" s="1" t="str">
        <f t="shared" si="29"/>
        <v>DATE MANQUANTE</v>
      </c>
      <c r="AA98" s="1">
        <f t="shared" si="22"/>
        <v>28</v>
      </c>
      <c r="AB98" s="1">
        <f t="shared" si="23"/>
        <v>28</v>
      </c>
      <c r="AC98" s="1">
        <f t="shared" si="24"/>
        <v>0</v>
      </c>
      <c r="AD98" s="1" t="str">
        <f t="shared" si="30"/>
        <v>STOCK MARINE</v>
      </c>
      <c r="AE98" s="1" t="str">
        <f t="shared" si="25"/>
        <v>STOCK MARINE</v>
      </c>
      <c r="AF98" s="1" t="str">
        <f t="shared" si="31"/>
        <v>STOCK MARINE</v>
      </c>
      <c r="AG98" s="1" t="str">
        <f t="shared" si="32"/>
        <v>STOCK MARINE</v>
      </c>
      <c r="AH98" s="1">
        <f t="shared" si="26"/>
        <v>8</v>
      </c>
      <c r="AI98" s="1">
        <f t="shared" si="33"/>
        <v>-19</v>
      </c>
      <c r="AJ98" s="1" t="str">
        <f t="shared" si="34"/>
        <v>PAS DE DATE PAPIER</v>
      </c>
      <c r="AK98" s="1" t="str">
        <f t="shared" si="35"/>
        <v>PAS DE DATE CARTON</v>
      </c>
      <c r="AL98" s="1" t="str">
        <f t="shared" si="36"/>
        <v>PAS DE DATE FICHIER</v>
      </c>
      <c r="AM98" s="1" t="str">
        <f t="shared" si="37"/>
        <v>PAS DE DATE VALIDATION MODELE CLIENT</v>
      </c>
      <c r="AN98" s="1">
        <f t="shared" si="38"/>
        <v>32764</v>
      </c>
      <c r="AO98" s="1">
        <f t="shared" si="21"/>
        <v>25</v>
      </c>
      <c r="AP98" s="1">
        <f t="shared" si="39"/>
        <v>0</v>
      </c>
      <c r="AQ98" s="1">
        <f t="shared" si="27"/>
        <v>20</v>
      </c>
      <c r="AR98" s="1">
        <f t="shared" si="40"/>
        <v>0</v>
      </c>
    </row>
    <row r="99" spans="1:44" x14ac:dyDescent="0.3">
      <c r="A99" s="1">
        <v>25160</v>
      </c>
      <c r="B99" s="1" t="s">
        <v>73</v>
      </c>
      <c r="C99" s="3" t="s">
        <v>104</v>
      </c>
      <c r="D99" s="4">
        <v>200</v>
      </c>
      <c r="E99" s="24">
        <f>_xlfn.XLOOKUP(A99,[1]PONCEBLANC!$Q:$Q,[1]PONCEBLANC!$J:$J,100,0)</f>
        <v>3486</v>
      </c>
      <c r="F99" s="2" t="s">
        <v>128</v>
      </c>
      <c r="G99" s="2">
        <v>45863</v>
      </c>
      <c r="H99" s="2">
        <v>45895</v>
      </c>
      <c r="J99" s="2">
        <v>45925</v>
      </c>
      <c r="K99" s="2">
        <v>45901</v>
      </c>
      <c r="L99" s="2">
        <v>45926</v>
      </c>
      <c r="N99" s="2">
        <v>45922</v>
      </c>
      <c r="P99" s="2">
        <v>45926</v>
      </c>
      <c r="Q99" s="2">
        <v>45925</v>
      </c>
      <c r="R99" s="2">
        <v>45961</v>
      </c>
      <c r="S99" s="2">
        <v>45961</v>
      </c>
      <c r="T99" s="2">
        <v>45961</v>
      </c>
      <c r="U99" s="1">
        <v>1</v>
      </c>
      <c r="Y99" s="1">
        <f t="shared" si="28"/>
        <v>70</v>
      </c>
      <c r="Z99" s="1">
        <f t="shared" si="29"/>
        <v>22</v>
      </c>
      <c r="AA99" s="1">
        <f t="shared" si="22"/>
        <v>48</v>
      </c>
      <c r="AB99" s="1">
        <f t="shared" si="23"/>
        <v>48</v>
      </c>
      <c r="AC99" s="1">
        <f t="shared" si="24"/>
        <v>0</v>
      </c>
      <c r="AD99" s="1">
        <f t="shared" si="30"/>
        <v>23</v>
      </c>
      <c r="AE99" s="1" t="str">
        <f t="shared" si="25"/>
        <v>PAS DE COMMANDE MATIERE</v>
      </c>
      <c r="AF99" s="1">
        <f t="shared" si="31"/>
        <v>32803</v>
      </c>
      <c r="AG99" s="1">
        <f t="shared" si="32"/>
        <v>1</v>
      </c>
      <c r="AH99" s="1">
        <f t="shared" si="26"/>
        <v>22</v>
      </c>
      <c r="AI99" s="1">
        <f t="shared" si="33"/>
        <v>19</v>
      </c>
      <c r="AJ99" s="1" t="str">
        <f t="shared" si="34"/>
        <v>PAS DE DATE PAPIER</v>
      </c>
      <c r="AK99" s="1" t="str">
        <f t="shared" si="35"/>
        <v>PAS DE DATE CARTON</v>
      </c>
      <c r="AL99" s="1">
        <f t="shared" si="36"/>
        <v>4</v>
      </c>
      <c r="AM99" s="1">
        <f t="shared" si="37"/>
        <v>23</v>
      </c>
      <c r="AN99" s="1">
        <f t="shared" si="38"/>
        <v>-6</v>
      </c>
      <c r="AO99" s="1">
        <f t="shared" si="21"/>
        <v>3</v>
      </c>
      <c r="AP99" s="1">
        <f t="shared" si="39"/>
        <v>1</v>
      </c>
      <c r="AQ99" s="1">
        <f t="shared" si="27"/>
        <v>25</v>
      </c>
      <c r="AR99" s="1">
        <f t="shared" si="40"/>
        <v>0</v>
      </c>
    </row>
    <row r="100" spans="1:44" x14ac:dyDescent="0.3">
      <c r="A100" s="1">
        <v>25161</v>
      </c>
      <c r="B100" s="1" t="s">
        <v>105</v>
      </c>
      <c r="C100" s="3" t="s">
        <v>106</v>
      </c>
      <c r="D100" s="4">
        <v>300</v>
      </c>
      <c r="E100" s="24">
        <f>_xlfn.XLOOKUP(A100,[1]PONCEBLANC!$Q:$Q,[1]PONCEBLANC!$J:$J,100,0)</f>
        <v>4410</v>
      </c>
      <c r="F100" s="2" t="s">
        <v>149</v>
      </c>
      <c r="G100" s="2">
        <v>45804</v>
      </c>
      <c r="H100" s="2">
        <v>45895</v>
      </c>
      <c r="J100" s="2">
        <v>45890</v>
      </c>
      <c r="K100" s="2">
        <v>45898</v>
      </c>
      <c r="L100" s="2">
        <v>45895</v>
      </c>
      <c r="N100" s="2">
        <v>45909</v>
      </c>
      <c r="O100" s="2" t="s">
        <v>199</v>
      </c>
      <c r="P100" s="2">
        <v>45912</v>
      </c>
      <c r="Q100" s="2">
        <v>45911</v>
      </c>
      <c r="R100" s="2">
        <v>45933</v>
      </c>
      <c r="S100" s="2">
        <v>45933</v>
      </c>
      <c r="T100" s="2">
        <v>45933</v>
      </c>
      <c r="U100" s="1">
        <v>1</v>
      </c>
      <c r="Y100" s="1">
        <f t="shared" si="28"/>
        <v>93</v>
      </c>
      <c r="Z100" s="1">
        <f t="shared" si="29"/>
        <v>65</v>
      </c>
      <c r="AA100" s="1">
        <f t="shared" si="22"/>
        <v>28</v>
      </c>
      <c r="AB100" s="1">
        <f t="shared" si="23"/>
        <v>28</v>
      </c>
      <c r="AC100" s="1">
        <f t="shared" si="24"/>
        <v>0</v>
      </c>
      <c r="AD100" s="1">
        <f t="shared" si="30"/>
        <v>13</v>
      </c>
      <c r="AE100" s="1" t="str">
        <f t="shared" si="25"/>
        <v>PAS DE COMMANDE MATIERE</v>
      </c>
      <c r="AF100" s="1">
        <f t="shared" si="31"/>
        <v>32778</v>
      </c>
      <c r="AG100" s="1">
        <f t="shared" si="32"/>
        <v>16</v>
      </c>
      <c r="AH100" s="1">
        <f t="shared" si="26"/>
        <v>12</v>
      </c>
      <c r="AI100" s="1">
        <f t="shared" si="33"/>
        <v>10</v>
      </c>
      <c r="AJ100" s="1" t="str">
        <f t="shared" si="34"/>
        <v>PAS DE DATE PAPIER</v>
      </c>
      <c r="AK100" s="1" t="str">
        <f t="shared" si="35"/>
        <v>STOCK</v>
      </c>
      <c r="AL100" s="1">
        <f t="shared" si="36"/>
        <v>3</v>
      </c>
      <c r="AM100" s="1">
        <f t="shared" si="37"/>
        <v>0</v>
      </c>
      <c r="AN100" s="1">
        <f t="shared" si="38"/>
        <v>7</v>
      </c>
      <c r="AO100" s="1">
        <f t="shared" si="21"/>
        <v>2</v>
      </c>
      <c r="AP100" s="1">
        <f t="shared" si="39"/>
        <v>1</v>
      </c>
      <c r="AQ100" s="1">
        <f t="shared" si="27"/>
        <v>15</v>
      </c>
      <c r="AR100" s="1">
        <f t="shared" si="40"/>
        <v>0</v>
      </c>
    </row>
    <row r="101" spans="1:44" x14ac:dyDescent="0.3">
      <c r="A101" s="1">
        <v>25162</v>
      </c>
      <c r="B101" s="1" t="s">
        <v>107</v>
      </c>
      <c r="C101" s="3" t="s">
        <v>108</v>
      </c>
      <c r="D101" s="4">
        <v>2000</v>
      </c>
      <c r="E101" s="24">
        <f>_xlfn.XLOOKUP(A101,[1]PONCEBLANC!$Q:$Q,[1]PONCEBLANC!$J:$J,100,0)</f>
        <v>13140</v>
      </c>
      <c r="F101" s="2" t="s">
        <v>136</v>
      </c>
      <c r="G101" s="2">
        <v>45888</v>
      </c>
      <c r="H101" s="2">
        <v>45897</v>
      </c>
      <c r="I101" s="2">
        <v>45904</v>
      </c>
      <c r="J101" s="2">
        <v>45923</v>
      </c>
      <c r="K101" s="2">
        <v>45929</v>
      </c>
      <c r="L101" s="2">
        <v>40447</v>
      </c>
      <c r="N101" s="2">
        <v>45937</v>
      </c>
      <c r="O101" s="2">
        <v>45936</v>
      </c>
      <c r="P101" s="2">
        <v>45947</v>
      </c>
      <c r="Q101" s="2">
        <v>45946</v>
      </c>
      <c r="R101" s="2">
        <v>45933</v>
      </c>
      <c r="S101" s="2">
        <v>45982</v>
      </c>
      <c r="T101" s="2">
        <v>45982</v>
      </c>
      <c r="U101" s="1">
        <v>1</v>
      </c>
      <c r="Y101" s="1">
        <f t="shared" si="28"/>
        <v>68</v>
      </c>
      <c r="Z101" s="1">
        <f t="shared" si="29"/>
        <v>7</v>
      </c>
      <c r="AA101" s="1">
        <f t="shared" si="22"/>
        <v>61</v>
      </c>
      <c r="AB101" s="1">
        <f t="shared" si="23"/>
        <v>61</v>
      </c>
      <c r="AC101" s="1">
        <f t="shared" si="24"/>
        <v>35</v>
      </c>
      <c r="AD101" s="1">
        <f t="shared" si="30"/>
        <v>36</v>
      </c>
      <c r="AE101" s="1">
        <f t="shared" si="25"/>
        <v>5</v>
      </c>
      <c r="AF101" s="1">
        <f t="shared" si="31"/>
        <v>13</v>
      </c>
      <c r="AG101" s="1">
        <f t="shared" si="32"/>
        <v>18</v>
      </c>
      <c r="AH101" s="1">
        <f t="shared" si="26"/>
        <v>35</v>
      </c>
      <c r="AI101" s="1">
        <f t="shared" si="33"/>
        <v>28</v>
      </c>
      <c r="AJ101" s="1" t="str">
        <f t="shared" si="34"/>
        <v>PAS DE DATE PAPIER</v>
      </c>
      <c r="AK101" s="1">
        <f t="shared" si="35"/>
        <v>27</v>
      </c>
      <c r="AL101" s="1">
        <f t="shared" si="36"/>
        <v>22</v>
      </c>
      <c r="AM101" s="1">
        <f t="shared" si="37"/>
        <v>-3895</v>
      </c>
      <c r="AN101" s="1">
        <f t="shared" si="38"/>
        <v>6</v>
      </c>
      <c r="AO101" s="1">
        <f t="shared" si="21"/>
        <v>7</v>
      </c>
      <c r="AP101" s="1">
        <f t="shared" si="39"/>
        <v>1</v>
      </c>
      <c r="AQ101" s="1">
        <f t="shared" si="27"/>
        <v>25</v>
      </c>
      <c r="AR101" s="1">
        <f t="shared" si="40"/>
        <v>0</v>
      </c>
    </row>
    <row r="102" spans="1:44" x14ac:dyDescent="0.3">
      <c r="A102" s="1">
        <v>25163</v>
      </c>
      <c r="B102" s="1" t="s">
        <v>40</v>
      </c>
      <c r="C102" s="3" t="s">
        <v>109</v>
      </c>
      <c r="D102" s="4">
        <v>500</v>
      </c>
      <c r="E102" s="24">
        <f>_xlfn.XLOOKUP(A102,[1]PONCEBLANC!$Q:$Q,[1]PONCEBLANC!$J:$J,100,0)</f>
        <v>2975</v>
      </c>
      <c r="F102" s="2" t="s">
        <v>153</v>
      </c>
      <c r="G102" s="2">
        <v>45901</v>
      </c>
      <c r="H102" s="2">
        <v>45903</v>
      </c>
      <c r="I102" s="2">
        <v>45905</v>
      </c>
      <c r="J102" s="2">
        <v>45961</v>
      </c>
      <c r="K102" s="2">
        <v>45933</v>
      </c>
      <c r="L102" s="2">
        <v>45937</v>
      </c>
      <c r="N102" s="2">
        <v>45953</v>
      </c>
      <c r="P102" s="2">
        <v>45975</v>
      </c>
      <c r="Q102" s="2">
        <v>45967</v>
      </c>
      <c r="R102" s="2">
        <v>45989</v>
      </c>
      <c r="S102" s="2">
        <v>45996</v>
      </c>
      <c r="T102" s="2">
        <v>45996</v>
      </c>
      <c r="U102" s="1">
        <v>1</v>
      </c>
      <c r="Y102" s="1">
        <f t="shared" si="28"/>
        <v>69</v>
      </c>
      <c r="Z102" s="1">
        <f t="shared" si="29"/>
        <v>2</v>
      </c>
      <c r="AA102" s="1">
        <f t="shared" si="22"/>
        <v>67</v>
      </c>
      <c r="AB102" s="1">
        <f t="shared" si="23"/>
        <v>67</v>
      </c>
      <c r="AC102" s="1">
        <f t="shared" si="24"/>
        <v>5</v>
      </c>
      <c r="AD102" s="1">
        <f t="shared" si="30"/>
        <v>52</v>
      </c>
      <c r="AE102" s="1">
        <f t="shared" si="25"/>
        <v>2</v>
      </c>
      <c r="AF102" s="1">
        <f t="shared" si="31"/>
        <v>40</v>
      </c>
      <c r="AG102" s="1">
        <f t="shared" si="32"/>
        <v>10</v>
      </c>
      <c r="AH102" s="1">
        <f t="shared" si="26"/>
        <v>46</v>
      </c>
      <c r="AI102" s="1">
        <f t="shared" si="33"/>
        <v>36</v>
      </c>
      <c r="AJ102" s="1" t="str">
        <f t="shared" si="34"/>
        <v>PAS DE DATE PAPIER</v>
      </c>
      <c r="AK102" s="1" t="str">
        <f t="shared" si="35"/>
        <v>PAS DE DATE CARTON</v>
      </c>
      <c r="AL102" s="1">
        <f t="shared" si="36"/>
        <v>22</v>
      </c>
      <c r="AM102" s="1">
        <f t="shared" si="37"/>
        <v>24</v>
      </c>
      <c r="AN102" s="1">
        <f t="shared" si="38"/>
        <v>12</v>
      </c>
      <c r="AO102" s="1">
        <f t="shared" si="21"/>
        <v>10</v>
      </c>
      <c r="AP102" s="1">
        <f t="shared" si="39"/>
        <v>6</v>
      </c>
      <c r="AQ102" s="1">
        <f t="shared" si="27"/>
        <v>15</v>
      </c>
      <c r="AR102" s="1">
        <f t="shared" si="40"/>
        <v>0</v>
      </c>
    </row>
    <row r="103" spans="1:44" x14ac:dyDescent="0.3">
      <c r="A103" s="1">
        <v>25164</v>
      </c>
      <c r="B103" s="1" t="s">
        <v>35</v>
      </c>
      <c r="C103" s="3" t="s">
        <v>110</v>
      </c>
      <c r="D103" s="4">
        <v>2000</v>
      </c>
      <c r="E103" s="24">
        <f>_xlfn.XLOOKUP(A103,[1]PONCEBLANC!$Q:$Q,[1]PONCEBLANC!$J:$J,100,0)</f>
        <v>100</v>
      </c>
      <c r="F103" s="2" t="s">
        <v>149</v>
      </c>
      <c r="G103" s="2" t="s">
        <v>450</v>
      </c>
      <c r="H103" s="2">
        <v>45902</v>
      </c>
      <c r="Y103" s="1" t="str">
        <f t="shared" si="28"/>
        <v>DATE MANQUANTE</v>
      </c>
      <c r="Z103" s="1" t="str">
        <f t="shared" si="29"/>
        <v>DATE MANQUANTE</v>
      </c>
      <c r="AA103" s="1" t="str">
        <f t="shared" si="22"/>
        <v>NON LIVRE</v>
      </c>
      <c r="AB103" s="1" t="str">
        <f t="shared" si="23"/>
        <v>NON LIVRE</v>
      </c>
      <c r="AC103" s="1" t="str">
        <f t="shared" si="24"/>
        <v>NON LIVRE</v>
      </c>
      <c r="AD103" s="1" t="str">
        <f t="shared" si="30"/>
        <v>NON LIVRE</v>
      </c>
      <c r="AE103" s="1" t="str">
        <f t="shared" si="25"/>
        <v>NON LIVRE</v>
      </c>
      <c r="AF103" s="1" t="str">
        <f t="shared" si="31"/>
        <v>NON LIVRE</v>
      </c>
      <c r="AG103" s="1" t="str">
        <f t="shared" si="32"/>
        <v>NON LIVRE</v>
      </c>
      <c r="AH103" s="1" t="str">
        <f t="shared" si="26"/>
        <v>NON LIVRE</v>
      </c>
      <c r="AI103" s="1" t="str">
        <f t="shared" si="33"/>
        <v>NON LIVRE</v>
      </c>
      <c r="AJ103" s="1" t="str">
        <f t="shared" si="34"/>
        <v>NON LIVRE</v>
      </c>
      <c r="AK103" s="1" t="str">
        <f t="shared" si="35"/>
        <v>NON LIVRE</v>
      </c>
      <c r="AL103" s="1" t="str">
        <f t="shared" si="36"/>
        <v>NON LIVRE</v>
      </c>
      <c r="AM103" s="1" t="str">
        <f t="shared" si="37"/>
        <v>NON LIVRE</v>
      </c>
      <c r="AN103" s="1" t="str">
        <f t="shared" si="38"/>
        <v>NON LIVRE</v>
      </c>
      <c r="AO103" s="1" t="str">
        <f t="shared" ref="AO103:AO166" si="41">IFERROR(IF($T103="","NON LIVRE",IF($N103="","PAS D'IMPRESSION",IF($Q103="","PAS DE DATE DEPART EN PROD TIRAGES ET ACHATS",NETWORKDAYS($N103,$Q103)-1))),$Q103)</f>
        <v>NON LIVRE</v>
      </c>
      <c r="AP103" s="1" t="str">
        <f t="shared" si="39"/>
        <v>NON LIVRE</v>
      </c>
      <c r="AQ103" s="1" t="str">
        <f t="shared" si="27"/>
        <v>NON LIVRE</v>
      </c>
      <c r="AR103" s="1" t="str">
        <f t="shared" si="40"/>
        <v>NON LIVRE</v>
      </c>
    </row>
    <row r="104" spans="1:44" x14ac:dyDescent="0.3">
      <c r="A104" s="1">
        <v>25165</v>
      </c>
      <c r="B104" s="1" t="s">
        <v>111</v>
      </c>
      <c r="C104" s="3" t="s">
        <v>112</v>
      </c>
      <c r="D104" s="4">
        <v>2900</v>
      </c>
      <c r="E104" s="24">
        <f>_xlfn.XLOOKUP(A104,[1]PONCEBLANC!$Q:$Q,[1]PONCEBLANC!$J:$J,100,0)</f>
        <v>100</v>
      </c>
      <c r="F104" s="2" t="s">
        <v>194</v>
      </c>
      <c r="G104" s="2" t="s">
        <v>450</v>
      </c>
      <c r="H104" s="2">
        <v>45903</v>
      </c>
      <c r="J104" s="2">
        <v>45933</v>
      </c>
      <c r="K104" s="2">
        <v>45923</v>
      </c>
      <c r="M104" s="2">
        <v>45925</v>
      </c>
      <c r="N104" s="2">
        <v>45926</v>
      </c>
      <c r="Q104" s="2">
        <v>45926</v>
      </c>
      <c r="R104" s="2">
        <v>45982</v>
      </c>
      <c r="S104" s="2">
        <v>45982</v>
      </c>
      <c r="T104" s="2">
        <v>45982</v>
      </c>
      <c r="U104" s="1">
        <v>1</v>
      </c>
      <c r="Y104" s="1" t="str">
        <f t="shared" si="28"/>
        <v>DATE MANQUANTE</v>
      </c>
      <c r="Z104" s="1" t="str">
        <f t="shared" si="29"/>
        <v>DATE MANQUANTE</v>
      </c>
      <c r="AA104" s="1">
        <f t="shared" si="22"/>
        <v>57</v>
      </c>
      <c r="AB104" s="1">
        <f t="shared" si="23"/>
        <v>57</v>
      </c>
      <c r="AC104" s="1">
        <f t="shared" si="24"/>
        <v>0</v>
      </c>
      <c r="AD104" s="1" t="str">
        <f t="shared" si="30"/>
        <v>PAS DE DEPART MATIERE</v>
      </c>
      <c r="AE104" s="1" t="str">
        <f t="shared" si="25"/>
        <v>PAS DE COMMANDE MATIERE</v>
      </c>
      <c r="AF104" s="1">
        <f t="shared" si="31"/>
        <v>32809</v>
      </c>
      <c r="AG104" s="1" t="str">
        <f t="shared" si="32"/>
        <v>PAS DE COMMANDE MATIERE</v>
      </c>
      <c r="AH104" s="1">
        <f t="shared" si="26"/>
        <v>17</v>
      </c>
      <c r="AI104" s="1">
        <f t="shared" si="33"/>
        <v>17</v>
      </c>
      <c r="AJ104" s="1">
        <f t="shared" si="34"/>
        <v>16</v>
      </c>
      <c r="AK104" s="1" t="str">
        <f t="shared" si="35"/>
        <v>PAS DE DATE CARTON</v>
      </c>
      <c r="AL104" s="1">
        <f t="shared" si="36"/>
        <v>14</v>
      </c>
      <c r="AM104" s="1" t="str">
        <f t="shared" si="37"/>
        <v>PAS DE DATE VALIDATION MODELE CLIENT</v>
      </c>
      <c r="AN104" s="1">
        <f t="shared" si="38"/>
        <v>3</v>
      </c>
      <c r="AO104" s="1">
        <f t="shared" si="41"/>
        <v>0</v>
      </c>
      <c r="AP104" s="1">
        <f t="shared" si="39"/>
        <v>0</v>
      </c>
      <c r="AQ104" s="1">
        <f t="shared" si="27"/>
        <v>40</v>
      </c>
      <c r="AR104" s="1" t="str">
        <f t="shared" si="40"/>
        <v>PAS D'IMPRESSION</v>
      </c>
    </row>
    <row r="105" spans="1:44" x14ac:dyDescent="0.3">
      <c r="A105" s="1">
        <v>25166</v>
      </c>
      <c r="B105" s="1" t="s">
        <v>113</v>
      </c>
      <c r="C105" s="3" t="s">
        <v>114</v>
      </c>
      <c r="D105" s="4">
        <v>1000</v>
      </c>
      <c r="E105" s="24">
        <f>_xlfn.XLOOKUP(A105,[1]PONCEBLANC!$Q:$Q,[1]PONCEBLANC!$J:$J,100,0)</f>
        <v>14930</v>
      </c>
      <c r="F105" s="2" t="s">
        <v>158</v>
      </c>
      <c r="G105" s="2">
        <v>45839</v>
      </c>
      <c r="H105" s="2">
        <v>45904</v>
      </c>
      <c r="J105" s="2">
        <v>45980</v>
      </c>
      <c r="K105" s="2">
        <v>45945</v>
      </c>
      <c r="L105" s="2">
        <v>45986</v>
      </c>
      <c r="N105" s="2">
        <v>45996</v>
      </c>
      <c r="O105" s="2">
        <v>45937</v>
      </c>
      <c r="P105" s="2">
        <v>46003</v>
      </c>
      <c r="Q105" s="2">
        <v>46014</v>
      </c>
      <c r="R105" s="2">
        <v>46045</v>
      </c>
      <c r="S105" s="2">
        <v>46045</v>
      </c>
      <c r="T105" s="2">
        <v>46052</v>
      </c>
      <c r="U105" s="1">
        <v>2</v>
      </c>
      <c r="Y105" s="1">
        <f t="shared" si="28"/>
        <v>153</v>
      </c>
      <c r="Z105" s="1">
        <f t="shared" si="29"/>
        <v>47</v>
      </c>
      <c r="AA105" s="1">
        <f t="shared" si="22"/>
        <v>106</v>
      </c>
      <c r="AB105" s="1">
        <f t="shared" si="23"/>
        <v>101</v>
      </c>
      <c r="AC105" s="1">
        <f t="shared" si="24"/>
        <v>0</v>
      </c>
      <c r="AD105" s="1">
        <f t="shared" si="30"/>
        <v>71</v>
      </c>
      <c r="AE105" s="1" t="str">
        <f t="shared" si="25"/>
        <v>PAS DE COMMANDE MATIERE</v>
      </c>
      <c r="AF105" s="1">
        <f t="shared" si="31"/>
        <v>32842</v>
      </c>
      <c r="AG105" s="1">
        <f t="shared" si="32"/>
        <v>17</v>
      </c>
      <c r="AH105" s="1">
        <f t="shared" si="26"/>
        <v>78</v>
      </c>
      <c r="AI105" s="1">
        <f t="shared" si="33"/>
        <v>66</v>
      </c>
      <c r="AJ105" s="1" t="str">
        <f t="shared" si="34"/>
        <v>PAS DE DATE PAPIER</v>
      </c>
      <c r="AK105" s="1">
        <f t="shared" si="35"/>
        <v>23</v>
      </c>
      <c r="AL105" s="1">
        <f t="shared" si="36"/>
        <v>29</v>
      </c>
      <c r="AM105" s="1">
        <f t="shared" si="37"/>
        <v>58</v>
      </c>
      <c r="AN105" s="1">
        <f t="shared" si="38"/>
        <v>8</v>
      </c>
      <c r="AO105" s="1">
        <f t="shared" si="41"/>
        <v>12</v>
      </c>
      <c r="AP105" s="1">
        <f t="shared" si="39"/>
        <v>7</v>
      </c>
      <c r="AQ105" s="1">
        <f t="shared" si="27"/>
        <v>23</v>
      </c>
      <c r="AR105" s="1">
        <f t="shared" si="40"/>
        <v>5</v>
      </c>
    </row>
    <row r="106" spans="1:44" x14ac:dyDescent="0.3">
      <c r="A106" s="1">
        <v>25167</v>
      </c>
      <c r="B106" s="1" t="s">
        <v>17</v>
      </c>
      <c r="C106" s="3" t="s">
        <v>115</v>
      </c>
      <c r="D106" s="4">
        <v>4000</v>
      </c>
      <c r="E106" s="24">
        <f>_xlfn.XLOOKUP(A106,[1]PONCEBLANC!$Q:$Q,[1]PONCEBLANC!$J:$J,100,0)</f>
        <v>21600</v>
      </c>
      <c r="F106" s="2" t="s">
        <v>136</v>
      </c>
      <c r="G106" s="2">
        <v>45894</v>
      </c>
      <c r="H106" s="2">
        <v>45909</v>
      </c>
      <c r="I106" s="2">
        <v>45912</v>
      </c>
      <c r="J106" s="2">
        <v>45925</v>
      </c>
      <c r="K106" s="2">
        <v>45915</v>
      </c>
      <c r="L106" s="2">
        <v>45909</v>
      </c>
      <c r="N106" s="2">
        <v>45930</v>
      </c>
      <c r="O106" s="2">
        <v>45936</v>
      </c>
      <c r="P106" s="2">
        <v>45939</v>
      </c>
      <c r="Q106" s="2">
        <v>45947</v>
      </c>
      <c r="R106" s="2">
        <v>45968</v>
      </c>
      <c r="S106" s="2">
        <v>45982</v>
      </c>
      <c r="T106" s="2">
        <v>45982</v>
      </c>
      <c r="U106" s="1">
        <v>1</v>
      </c>
      <c r="Y106" s="1">
        <f t="shared" si="28"/>
        <v>64</v>
      </c>
      <c r="Z106" s="1">
        <f t="shared" si="29"/>
        <v>11</v>
      </c>
      <c r="AA106" s="1">
        <f t="shared" si="22"/>
        <v>53</v>
      </c>
      <c r="AB106" s="1">
        <f t="shared" si="23"/>
        <v>53</v>
      </c>
      <c r="AC106" s="1">
        <f t="shared" si="24"/>
        <v>10</v>
      </c>
      <c r="AD106" s="1">
        <f t="shared" si="30"/>
        <v>22</v>
      </c>
      <c r="AE106" s="1">
        <f t="shared" si="25"/>
        <v>3</v>
      </c>
      <c r="AF106" s="1">
        <f t="shared" si="31"/>
        <v>9</v>
      </c>
      <c r="AG106" s="1">
        <f t="shared" si="32"/>
        <v>10</v>
      </c>
      <c r="AH106" s="1">
        <f t="shared" si="26"/>
        <v>28</v>
      </c>
      <c r="AI106" s="1">
        <f t="shared" si="33"/>
        <v>15</v>
      </c>
      <c r="AJ106" s="1" t="str">
        <f t="shared" si="34"/>
        <v>PAS DE DATE PAPIER</v>
      </c>
      <c r="AK106" s="1">
        <f t="shared" si="35"/>
        <v>19</v>
      </c>
      <c r="AL106" s="1">
        <f t="shared" si="36"/>
        <v>4</v>
      </c>
      <c r="AM106" s="1">
        <f t="shared" si="37"/>
        <v>0</v>
      </c>
      <c r="AN106" s="1">
        <f t="shared" si="38"/>
        <v>11</v>
      </c>
      <c r="AO106" s="1">
        <f t="shared" si="41"/>
        <v>13</v>
      </c>
      <c r="AP106" s="1">
        <f t="shared" si="39"/>
        <v>6</v>
      </c>
      <c r="AQ106" s="1">
        <f t="shared" si="27"/>
        <v>25</v>
      </c>
      <c r="AR106" s="1">
        <f t="shared" si="40"/>
        <v>0</v>
      </c>
    </row>
    <row r="107" spans="1:44" x14ac:dyDescent="0.3">
      <c r="A107" s="1">
        <v>25168</v>
      </c>
      <c r="B107" s="1" t="s">
        <v>60</v>
      </c>
      <c r="C107" s="3" t="s">
        <v>116</v>
      </c>
      <c r="D107" s="4">
        <v>1500</v>
      </c>
      <c r="E107" s="24">
        <f>_xlfn.XLOOKUP(A107,[1]PONCEBLANC!$Q:$Q,[1]PONCEBLANC!$J:$J,100,0)</f>
        <v>15434.999999999998</v>
      </c>
      <c r="F107" s="2" t="s">
        <v>133</v>
      </c>
      <c r="G107" s="2">
        <v>45819</v>
      </c>
      <c r="H107" s="2">
        <v>45910</v>
      </c>
      <c r="I107" s="2">
        <v>45911</v>
      </c>
      <c r="J107" s="2">
        <v>46010</v>
      </c>
      <c r="K107" s="2">
        <v>46003</v>
      </c>
      <c r="L107" s="2">
        <v>46006</v>
      </c>
      <c r="M107" s="2">
        <v>45939</v>
      </c>
      <c r="N107" s="2">
        <v>46051</v>
      </c>
      <c r="O107" s="2">
        <v>45936</v>
      </c>
      <c r="P107" s="2">
        <v>46065</v>
      </c>
      <c r="Q107" s="2">
        <v>46051</v>
      </c>
      <c r="R107" s="2">
        <v>46080</v>
      </c>
      <c r="S107" s="2">
        <v>46080</v>
      </c>
      <c r="T107" s="2">
        <v>46080</v>
      </c>
      <c r="U107" s="1">
        <v>1</v>
      </c>
      <c r="Y107" s="1">
        <f t="shared" si="28"/>
        <v>187</v>
      </c>
      <c r="Z107" s="1">
        <f t="shared" si="29"/>
        <v>65</v>
      </c>
      <c r="AA107" s="1">
        <f t="shared" si="22"/>
        <v>122</v>
      </c>
      <c r="AB107" s="1">
        <f t="shared" si="23"/>
        <v>122</v>
      </c>
      <c r="AC107" s="1">
        <f t="shared" si="24"/>
        <v>0</v>
      </c>
      <c r="AD107" s="1">
        <f t="shared" si="30"/>
        <v>111</v>
      </c>
      <c r="AE107" s="1">
        <f t="shared" si="25"/>
        <v>1</v>
      </c>
      <c r="AF107" s="1">
        <f t="shared" si="31"/>
        <v>71</v>
      </c>
      <c r="AG107" s="1">
        <f t="shared" si="32"/>
        <v>39</v>
      </c>
      <c r="AH107" s="1">
        <f t="shared" si="26"/>
        <v>101</v>
      </c>
      <c r="AI107" s="1">
        <f t="shared" si="33"/>
        <v>101</v>
      </c>
      <c r="AJ107" s="1">
        <f t="shared" si="34"/>
        <v>21</v>
      </c>
      <c r="AK107" s="1">
        <f t="shared" si="35"/>
        <v>18</v>
      </c>
      <c r="AL107" s="1">
        <f t="shared" si="36"/>
        <v>67</v>
      </c>
      <c r="AM107" s="1">
        <f t="shared" si="37"/>
        <v>68</v>
      </c>
      <c r="AN107" s="1">
        <f t="shared" si="38"/>
        <v>33</v>
      </c>
      <c r="AO107" s="1">
        <f t="shared" si="41"/>
        <v>0</v>
      </c>
      <c r="AP107" s="1">
        <f t="shared" si="39"/>
        <v>10</v>
      </c>
      <c r="AQ107" s="1">
        <f t="shared" si="27"/>
        <v>11</v>
      </c>
      <c r="AR107" s="1">
        <f t="shared" si="40"/>
        <v>0</v>
      </c>
    </row>
    <row r="108" spans="1:44" x14ac:dyDescent="0.3">
      <c r="A108" s="1">
        <v>25169</v>
      </c>
      <c r="B108" s="1" t="s">
        <v>9</v>
      </c>
      <c r="C108" s="3" t="s">
        <v>117</v>
      </c>
      <c r="D108" s="4">
        <v>1500</v>
      </c>
      <c r="E108" s="24">
        <f>_xlfn.XLOOKUP(A108,[1]PONCEBLANC!$Q:$Q,[1]PONCEBLANC!$J:$J,100,0)</f>
        <v>23180</v>
      </c>
      <c r="F108" s="2" t="s">
        <v>133</v>
      </c>
      <c r="G108" s="2">
        <v>45692</v>
      </c>
      <c r="H108" s="2">
        <v>45910</v>
      </c>
      <c r="I108" s="2">
        <v>45911</v>
      </c>
      <c r="J108" s="2">
        <v>45936</v>
      </c>
      <c r="K108" s="2">
        <v>45958</v>
      </c>
      <c r="L108" s="2">
        <v>45915</v>
      </c>
      <c r="M108" s="2">
        <v>45939</v>
      </c>
      <c r="N108" s="2">
        <v>45964</v>
      </c>
      <c r="O108" s="2">
        <v>45936</v>
      </c>
      <c r="P108" s="2">
        <v>45947</v>
      </c>
      <c r="Q108" s="2">
        <v>45967</v>
      </c>
      <c r="R108" s="2">
        <v>45989</v>
      </c>
      <c r="S108" s="2">
        <v>45989</v>
      </c>
      <c r="T108" s="2">
        <v>45989</v>
      </c>
      <c r="U108" s="1">
        <v>1</v>
      </c>
      <c r="Y108" s="1">
        <f t="shared" si="28"/>
        <v>213</v>
      </c>
      <c r="Z108" s="1">
        <f t="shared" si="29"/>
        <v>156</v>
      </c>
      <c r="AA108" s="1">
        <f t="shared" si="22"/>
        <v>57</v>
      </c>
      <c r="AB108" s="1">
        <f t="shared" si="23"/>
        <v>57</v>
      </c>
      <c r="AC108" s="1">
        <f t="shared" si="24"/>
        <v>0</v>
      </c>
      <c r="AD108" s="1">
        <f t="shared" si="30"/>
        <v>27</v>
      </c>
      <c r="AE108" s="1">
        <f t="shared" si="25"/>
        <v>1</v>
      </c>
      <c r="AF108" s="1">
        <f t="shared" si="31"/>
        <v>17</v>
      </c>
      <c r="AG108" s="1">
        <f t="shared" si="32"/>
        <v>9</v>
      </c>
      <c r="AH108" s="1">
        <f t="shared" si="26"/>
        <v>41</v>
      </c>
      <c r="AI108" s="1">
        <f t="shared" si="33"/>
        <v>38</v>
      </c>
      <c r="AJ108" s="1">
        <f t="shared" si="34"/>
        <v>21</v>
      </c>
      <c r="AK108" s="1">
        <f t="shared" si="35"/>
        <v>18</v>
      </c>
      <c r="AL108" s="1">
        <f t="shared" si="36"/>
        <v>34</v>
      </c>
      <c r="AM108" s="1">
        <f t="shared" si="37"/>
        <v>3</v>
      </c>
      <c r="AN108" s="1">
        <f t="shared" si="38"/>
        <v>4</v>
      </c>
      <c r="AO108" s="1">
        <f t="shared" si="41"/>
        <v>3</v>
      </c>
      <c r="AP108" s="1">
        <f t="shared" si="39"/>
        <v>14</v>
      </c>
      <c r="AQ108" s="1">
        <f t="shared" si="27"/>
        <v>16</v>
      </c>
      <c r="AR108" s="1">
        <f t="shared" si="40"/>
        <v>0</v>
      </c>
    </row>
    <row r="109" spans="1:44" x14ac:dyDescent="0.3">
      <c r="A109" s="1">
        <v>25170</v>
      </c>
      <c r="B109" s="1" t="s">
        <v>9</v>
      </c>
      <c r="C109" s="3" t="s">
        <v>118</v>
      </c>
      <c r="D109" s="4">
        <v>500</v>
      </c>
      <c r="E109" s="24">
        <f>_xlfn.XLOOKUP(A109,[1]PONCEBLANC!$Q:$Q,[1]PONCEBLANC!$J:$J,100,0)</f>
        <v>9290</v>
      </c>
      <c r="F109" s="2" t="s">
        <v>136</v>
      </c>
      <c r="G109" s="2">
        <v>45848</v>
      </c>
      <c r="H109" s="2">
        <v>45910</v>
      </c>
      <c r="I109" s="2">
        <v>45911</v>
      </c>
      <c r="J109" s="2">
        <v>45959</v>
      </c>
      <c r="K109" s="2">
        <v>45943</v>
      </c>
      <c r="L109" s="2">
        <v>45958</v>
      </c>
      <c r="N109" s="2">
        <v>45959</v>
      </c>
      <c r="O109" s="2" t="s">
        <v>199</v>
      </c>
      <c r="P109" s="2">
        <v>45961</v>
      </c>
      <c r="Q109" s="2">
        <v>45960</v>
      </c>
      <c r="R109" s="2">
        <v>45982</v>
      </c>
      <c r="S109" s="2">
        <v>45982</v>
      </c>
      <c r="T109" s="2">
        <v>45982</v>
      </c>
      <c r="U109" s="1">
        <v>1</v>
      </c>
      <c r="Y109" s="1">
        <f t="shared" si="28"/>
        <v>96</v>
      </c>
      <c r="Z109" s="1">
        <f t="shared" si="29"/>
        <v>44</v>
      </c>
      <c r="AA109" s="1">
        <f t="shared" si="22"/>
        <v>52</v>
      </c>
      <c r="AB109" s="1">
        <f t="shared" si="23"/>
        <v>52</v>
      </c>
      <c r="AC109" s="1">
        <f t="shared" si="24"/>
        <v>0</v>
      </c>
      <c r="AD109" s="1">
        <f t="shared" si="30"/>
        <v>37</v>
      </c>
      <c r="AE109" s="1">
        <f t="shared" si="25"/>
        <v>1</v>
      </c>
      <c r="AF109" s="1">
        <f t="shared" si="31"/>
        <v>34</v>
      </c>
      <c r="AG109" s="1">
        <f t="shared" si="32"/>
        <v>2</v>
      </c>
      <c r="AH109" s="1">
        <f t="shared" si="26"/>
        <v>36</v>
      </c>
      <c r="AI109" s="1">
        <f t="shared" si="33"/>
        <v>35</v>
      </c>
      <c r="AJ109" s="1" t="str">
        <f t="shared" si="34"/>
        <v>PAS DE DATE PAPIER</v>
      </c>
      <c r="AK109" s="1" t="str">
        <f t="shared" si="35"/>
        <v>STOCK</v>
      </c>
      <c r="AL109" s="1">
        <f t="shared" si="36"/>
        <v>23</v>
      </c>
      <c r="AM109" s="1">
        <f t="shared" si="37"/>
        <v>34</v>
      </c>
      <c r="AN109" s="1">
        <f t="shared" si="38"/>
        <v>1</v>
      </c>
      <c r="AO109" s="1">
        <f t="shared" si="41"/>
        <v>1</v>
      </c>
      <c r="AP109" s="1">
        <f t="shared" si="39"/>
        <v>1</v>
      </c>
      <c r="AQ109" s="1">
        <f t="shared" si="27"/>
        <v>15</v>
      </c>
      <c r="AR109" s="1">
        <f t="shared" si="40"/>
        <v>0</v>
      </c>
    </row>
    <row r="110" spans="1:44" x14ac:dyDescent="0.3">
      <c r="A110" s="1">
        <v>25171</v>
      </c>
      <c r="B110" s="1" t="s">
        <v>9</v>
      </c>
      <c r="C110" s="3" t="s">
        <v>119</v>
      </c>
      <c r="D110" s="4">
        <v>1500</v>
      </c>
      <c r="E110" s="24">
        <f>_xlfn.XLOOKUP(A110,[1]PONCEBLANC!$Q:$Q,[1]PONCEBLANC!$J:$J,100,0)</f>
        <v>100</v>
      </c>
      <c r="F110" s="2" t="s">
        <v>133</v>
      </c>
      <c r="G110" s="2" t="s">
        <v>450</v>
      </c>
      <c r="H110" s="2">
        <v>45910</v>
      </c>
      <c r="I110" s="2">
        <v>45911</v>
      </c>
      <c r="J110" s="2">
        <v>45936</v>
      </c>
      <c r="K110" s="2">
        <v>45931</v>
      </c>
      <c r="L110" s="2">
        <v>45916</v>
      </c>
      <c r="M110" s="2">
        <v>45939</v>
      </c>
      <c r="N110" s="2">
        <v>45952</v>
      </c>
      <c r="O110" s="2">
        <v>45936</v>
      </c>
      <c r="P110" s="2">
        <v>45947</v>
      </c>
      <c r="Q110" s="2">
        <v>45953</v>
      </c>
      <c r="R110" s="2">
        <v>45982</v>
      </c>
      <c r="S110" s="2">
        <v>45982</v>
      </c>
      <c r="T110" s="2">
        <v>45982</v>
      </c>
      <c r="U110" s="1">
        <v>1</v>
      </c>
      <c r="Y110" s="1" t="str">
        <f t="shared" si="28"/>
        <v>DATE MANQUANTE</v>
      </c>
      <c r="Z110" s="1" t="str">
        <f t="shared" si="29"/>
        <v>DATE MANQUANTE</v>
      </c>
      <c r="AA110" s="1">
        <f t="shared" si="22"/>
        <v>52</v>
      </c>
      <c r="AB110" s="1">
        <f t="shared" si="23"/>
        <v>52</v>
      </c>
      <c r="AC110" s="1">
        <f t="shared" si="24"/>
        <v>0</v>
      </c>
      <c r="AD110" s="1">
        <f t="shared" si="30"/>
        <v>27</v>
      </c>
      <c r="AE110" s="1">
        <f t="shared" si="25"/>
        <v>1</v>
      </c>
      <c r="AF110" s="1">
        <f t="shared" si="31"/>
        <v>17</v>
      </c>
      <c r="AG110" s="1">
        <f t="shared" si="32"/>
        <v>9</v>
      </c>
      <c r="AH110" s="1">
        <f t="shared" si="26"/>
        <v>31</v>
      </c>
      <c r="AI110" s="1">
        <f t="shared" si="33"/>
        <v>30</v>
      </c>
      <c r="AJ110" s="1">
        <f t="shared" si="34"/>
        <v>21</v>
      </c>
      <c r="AK110" s="1">
        <f t="shared" si="35"/>
        <v>18</v>
      </c>
      <c r="AL110" s="1">
        <f t="shared" si="36"/>
        <v>15</v>
      </c>
      <c r="AM110" s="1">
        <f t="shared" si="37"/>
        <v>4</v>
      </c>
      <c r="AN110" s="1">
        <f t="shared" si="38"/>
        <v>15</v>
      </c>
      <c r="AO110" s="1">
        <f t="shared" si="41"/>
        <v>1</v>
      </c>
      <c r="AP110" s="1">
        <f t="shared" si="39"/>
        <v>4</v>
      </c>
      <c r="AQ110" s="1">
        <f t="shared" si="27"/>
        <v>21</v>
      </c>
      <c r="AR110" s="1">
        <f t="shared" si="40"/>
        <v>0</v>
      </c>
    </row>
    <row r="111" spans="1:44" x14ac:dyDescent="0.3">
      <c r="A111" s="1">
        <v>25172</v>
      </c>
      <c r="B111" s="1" t="s">
        <v>120</v>
      </c>
      <c r="C111" s="3" t="s">
        <v>121</v>
      </c>
      <c r="D111" s="4">
        <v>500</v>
      </c>
      <c r="E111" s="24">
        <f>_xlfn.XLOOKUP(A111,[1]PONCEBLANC!$Q:$Q,[1]PONCEBLANC!$J:$J,100,0)</f>
        <v>100</v>
      </c>
      <c r="F111" s="2" t="s">
        <v>165</v>
      </c>
      <c r="G111" s="2" t="s">
        <v>450</v>
      </c>
      <c r="H111" s="2">
        <v>45910</v>
      </c>
      <c r="I111" s="2">
        <v>45931</v>
      </c>
      <c r="J111" s="2">
        <v>45943</v>
      </c>
      <c r="K111" s="2">
        <v>45957</v>
      </c>
      <c r="L111" s="2">
        <v>45964</v>
      </c>
      <c r="N111" s="2">
        <v>45966</v>
      </c>
      <c r="O111" s="2" t="s">
        <v>199</v>
      </c>
      <c r="P111" s="2">
        <v>45966</v>
      </c>
      <c r="Q111" s="2">
        <v>45968</v>
      </c>
      <c r="R111" s="2">
        <v>45996</v>
      </c>
      <c r="S111" s="2">
        <v>45996</v>
      </c>
      <c r="T111" s="2">
        <v>46031</v>
      </c>
      <c r="U111" s="1">
        <v>7</v>
      </c>
      <c r="Y111" s="1" t="str">
        <f t="shared" si="28"/>
        <v>DATE MANQUANTE</v>
      </c>
      <c r="Z111" s="1" t="str">
        <f t="shared" si="29"/>
        <v>DATE MANQUANTE</v>
      </c>
      <c r="AA111" s="1">
        <f t="shared" si="22"/>
        <v>87</v>
      </c>
      <c r="AB111" s="1">
        <f t="shared" si="23"/>
        <v>62</v>
      </c>
      <c r="AC111" s="1">
        <f t="shared" si="24"/>
        <v>0</v>
      </c>
      <c r="AD111" s="1">
        <f t="shared" si="30"/>
        <v>40</v>
      </c>
      <c r="AE111" s="1">
        <f t="shared" si="25"/>
        <v>15</v>
      </c>
      <c r="AF111" s="1">
        <f t="shared" si="31"/>
        <v>8</v>
      </c>
      <c r="AG111" s="1">
        <f t="shared" si="32"/>
        <v>17</v>
      </c>
      <c r="AH111" s="1">
        <f t="shared" si="26"/>
        <v>42</v>
      </c>
      <c r="AI111" s="1">
        <f t="shared" si="33"/>
        <v>40</v>
      </c>
      <c r="AJ111" s="1" t="str">
        <f t="shared" si="34"/>
        <v>PAS DE DATE PAPIER</v>
      </c>
      <c r="AK111" s="1" t="str">
        <f t="shared" si="35"/>
        <v>STOCK</v>
      </c>
      <c r="AL111" s="1">
        <f t="shared" si="36"/>
        <v>33</v>
      </c>
      <c r="AM111" s="1">
        <f t="shared" si="37"/>
        <v>38</v>
      </c>
      <c r="AN111" s="1">
        <f t="shared" si="38"/>
        <v>2</v>
      </c>
      <c r="AO111" s="1">
        <f t="shared" si="41"/>
        <v>2</v>
      </c>
      <c r="AP111" s="1">
        <f t="shared" si="39"/>
        <v>2</v>
      </c>
      <c r="AQ111" s="1">
        <f t="shared" si="27"/>
        <v>20</v>
      </c>
      <c r="AR111" s="1">
        <f t="shared" si="40"/>
        <v>25</v>
      </c>
    </row>
    <row r="112" spans="1:44" x14ac:dyDescent="0.3">
      <c r="A112" s="1">
        <v>25173</v>
      </c>
      <c r="B112" s="1" t="s">
        <v>9</v>
      </c>
      <c r="C112" s="3" t="s">
        <v>122</v>
      </c>
      <c r="D112" s="4">
        <v>500</v>
      </c>
      <c r="E112" s="24">
        <f>_xlfn.XLOOKUP(A112,[1]PONCEBLANC!$Q:$Q,[1]PONCEBLANC!$J:$J,100,0)</f>
        <v>4920</v>
      </c>
      <c r="F112" s="2" t="s">
        <v>133</v>
      </c>
      <c r="G112" s="2">
        <v>45763</v>
      </c>
      <c r="H112" s="2">
        <v>45910</v>
      </c>
      <c r="I112" s="2">
        <v>45912</v>
      </c>
      <c r="J112" s="2">
        <v>45936</v>
      </c>
      <c r="K112" s="2">
        <v>45929</v>
      </c>
      <c r="L112" s="2">
        <v>45939</v>
      </c>
      <c r="M112" s="2">
        <v>45940</v>
      </c>
      <c r="N112" s="2">
        <v>45952</v>
      </c>
      <c r="O112" s="2" t="s">
        <v>199</v>
      </c>
      <c r="P112" s="2">
        <v>45939</v>
      </c>
      <c r="Q112" s="2">
        <v>45953</v>
      </c>
      <c r="R112" s="2">
        <v>45975</v>
      </c>
      <c r="S112" s="2">
        <v>45975</v>
      </c>
      <c r="T112" s="2">
        <v>45975</v>
      </c>
      <c r="U112" s="1">
        <v>1</v>
      </c>
      <c r="Y112" s="1">
        <f t="shared" si="28"/>
        <v>152</v>
      </c>
      <c r="Z112" s="1">
        <f t="shared" si="29"/>
        <v>105</v>
      </c>
      <c r="AA112" s="1">
        <f t="shared" si="22"/>
        <v>47</v>
      </c>
      <c r="AB112" s="1">
        <f t="shared" si="23"/>
        <v>47</v>
      </c>
      <c r="AC112" s="1">
        <f t="shared" si="24"/>
        <v>0</v>
      </c>
      <c r="AD112" s="1">
        <f t="shared" si="30"/>
        <v>21</v>
      </c>
      <c r="AE112" s="1">
        <f t="shared" si="25"/>
        <v>2</v>
      </c>
      <c r="AF112" s="1">
        <f t="shared" si="31"/>
        <v>16</v>
      </c>
      <c r="AG112" s="1">
        <f t="shared" si="32"/>
        <v>3</v>
      </c>
      <c r="AH112" s="1">
        <f t="shared" si="26"/>
        <v>31</v>
      </c>
      <c r="AI112" s="1">
        <f t="shared" si="33"/>
        <v>30</v>
      </c>
      <c r="AJ112" s="1">
        <f t="shared" si="34"/>
        <v>22</v>
      </c>
      <c r="AK112" s="1" t="str">
        <f t="shared" si="35"/>
        <v>STOCK</v>
      </c>
      <c r="AL112" s="1">
        <f t="shared" si="36"/>
        <v>13</v>
      </c>
      <c r="AM112" s="1">
        <f t="shared" si="37"/>
        <v>21</v>
      </c>
      <c r="AN112" s="1">
        <f t="shared" si="38"/>
        <v>9</v>
      </c>
      <c r="AO112" s="1">
        <f t="shared" si="41"/>
        <v>1</v>
      </c>
      <c r="AP112" s="1">
        <f t="shared" si="39"/>
        <v>10</v>
      </c>
      <c r="AQ112" s="1">
        <f t="shared" si="27"/>
        <v>16</v>
      </c>
      <c r="AR112" s="1">
        <f t="shared" si="40"/>
        <v>0</v>
      </c>
    </row>
    <row r="113" spans="1:44" x14ac:dyDescent="0.3">
      <c r="A113" s="1">
        <v>25174</v>
      </c>
      <c r="B113" s="1" t="s">
        <v>123</v>
      </c>
      <c r="C113" s="3" t="s">
        <v>124</v>
      </c>
      <c r="D113" s="4">
        <v>2000</v>
      </c>
      <c r="E113" s="24">
        <f>_xlfn.XLOOKUP(A113,[1]PONCEBLANC!$Q:$Q,[1]PONCEBLANC!$J:$J,100,0)</f>
        <v>11180</v>
      </c>
      <c r="F113" s="2" t="s">
        <v>137</v>
      </c>
      <c r="G113" s="2">
        <v>45762</v>
      </c>
      <c r="H113" s="2">
        <v>45911</v>
      </c>
      <c r="J113" s="2">
        <v>45930</v>
      </c>
      <c r="K113" s="2">
        <v>45912</v>
      </c>
      <c r="L113" s="2">
        <v>45926</v>
      </c>
      <c r="N113" s="2">
        <v>45950</v>
      </c>
      <c r="Q113" s="2">
        <v>45953</v>
      </c>
      <c r="R113" s="2">
        <v>45982</v>
      </c>
      <c r="S113" s="2">
        <v>45982</v>
      </c>
      <c r="T113" s="2">
        <v>45989</v>
      </c>
      <c r="U113" s="1">
        <v>2</v>
      </c>
      <c r="Y113" s="1">
        <f t="shared" si="28"/>
        <v>163</v>
      </c>
      <c r="Z113" s="1">
        <f t="shared" si="29"/>
        <v>107</v>
      </c>
      <c r="AA113" s="1">
        <f t="shared" si="22"/>
        <v>56</v>
      </c>
      <c r="AB113" s="1">
        <f t="shared" si="23"/>
        <v>51</v>
      </c>
      <c r="AC113" s="1">
        <f t="shared" si="24"/>
        <v>0</v>
      </c>
      <c r="AD113" s="1" t="str">
        <f t="shared" si="30"/>
        <v>PAS DE DEPART MATIERE</v>
      </c>
      <c r="AE113" s="1" t="str">
        <f t="shared" si="25"/>
        <v>PAS DE COMMANDE MATIERE</v>
      </c>
      <c r="AF113" s="1">
        <f t="shared" si="31"/>
        <v>32806</v>
      </c>
      <c r="AG113" s="1" t="str">
        <f t="shared" si="32"/>
        <v>PAS DE COMMANDE MATIERE</v>
      </c>
      <c r="AH113" s="1">
        <f t="shared" si="26"/>
        <v>30</v>
      </c>
      <c r="AI113" s="1">
        <f t="shared" si="33"/>
        <v>27</v>
      </c>
      <c r="AJ113" s="1" t="str">
        <f t="shared" si="34"/>
        <v>PAS DE DATE PAPIER</v>
      </c>
      <c r="AK113" s="1" t="str">
        <f t="shared" si="35"/>
        <v>PAS DE DATE CARTON</v>
      </c>
      <c r="AL113" s="1">
        <f t="shared" si="36"/>
        <v>1</v>
      </c>
      <c r="AM113" s="1">
        <f t="shared" si="37"/>
        <v>11</v>
      </c>
      <c r="AN113" s="1">
        <f t="shared" si="38"/>
        <v>16</v>
      </c>
      <c r="AO113" s="1">
        <f t="shared" si="41"/>
        <v>3</v>
      </c>
      <c r="AP113" s="1">
        <f t="shared" si="39"/>
        <v>0</v>
      </c>
      <c r="AQ113" s="1">
        <f t="shared" si="27"/>
        <v>21</v>
      </c>
      <c r="AR113" s="1" t="str">
        <f t="shared" si="40"/>
        <v>PAS D'IMPRESSION</v>
      </c>
    </row>
    <row r="114" spans="1:44" x14ac:dyDescent="0.3">
      <c r="A114" s="1">
        <v>25175</v>
      </c>
      <c r="B114" s="1" t="s">
        <v>17</v>
      </c>
      <c r="C114" s="3" t="s">
        <v>125</v>
      </c>
      <c r="D114" s="4">
        <v>2000</v>
      </c>
      <c r="E114" s="24">
        <f>_xlfn.XLOOKUP(A114,[1]PONCEBLANC!$Q:$Q,[1]PONCEBLANC!$J:$J,100,0)</f>
        <v>17700</v>
      </c>
      <c r="F114" s="2" t="s">
        <v>140</v>
      </c>
      <c r="G114" s="2">
        <v>45897</v>
      </c>
      <c r="H114" s="2">
        <v>45912</v>
      </c>
      <c r="I114" s="2">
        <v>45915</v>
      </c>
      <c r="J114" s="2">
        <v>45936</v>
      </c>
      <c r="K114" s="2">
        <v>45916</v>
      </c>
      <c r="L114" s="2">
        <v>45946</v>
      </c>
      <c r="N114" s="2">
        <v>45932</v>
      </c>
      <c r="O114" s="2">
        <v>45936</v>
      </c>
      <c r="P114" s="2">
        <v>45954</v>
      </c>
      <c r="Q114" s="2">
        <v>45960</v>
      </c>
      <c r="R114" s="2">
        <v>45989</v>
      </c>
      <c r="S114" s="2">
        <v>45989</v>
      </c>
      <c r="T114" s="2">
        <v>45989</v>
      </c>
      <c r="U114" s="1">
        <v>1</v>
      </c>
      <c r="Y114" s="1">
        <f t="shared" si="28"/>
        <v>66</v>
      </c>
      <c r="Z114" s="1">
        <f t="shared" si="29"/>
        <v>11</v>
      </c>
      <c r="AA114" s="1">
        <f t="shared" si="22"/>
        <v>55</v>
      </c>
      <c r="AB114" s="1">
        <f t="shared" si="23"/>
        <v>55</v>
      </c>
      <c r="AC114" s="1">
        <f t="shared" si="24"/>
        <v>0</v>
      </c>
      <c r="AD114" s="1">
        <f t="shared" si="30"/>
        <v>30</v>
      </c>
      <c r="AE114" s="1">
        <f t="shared" si="25"/>
        <v>1</v>
      </c>
      <c r="AF114" s="1">
        <f t="shared" si="31"/>
        <v>15</v>
      </c>
      <c r="AG114" s="1">
        <f t="shared" si="32"/>
        <v>14</v>
      </c>
      <c r="AH114" s="1">
        <f t="shared" si="26"/>
        <v>34</v>
      </c>
      <c r="AI114" s="1">
        <f t="shared" si="33"/>
        <v>14</v>
      </c>
      <c r="AJ114" s="1" t="str">
        <f t="shared" si="34"/>
        <v>PAS DE DATE PAPIER</v>
      </c>
      <c r="AK114" s="1">
        <f t="shared" si="35"/>
        <v>16</v>
      </c>
      <c r="AL114" s="1">
        <f t="shared" si="36"/>
        <v>2</v>
      </c>
      <c r="AM114" s="1">
        <f t="shared" si="37"/>
        <v>24</v>
      </c>
      <c r="AN114" s="1">
        <f t="shared" si="38"/>
        <v>-12</v>
      </c>
      <c r="AO114" s="1">
        <f t="shared" si="41"/>
        <v>20</v>
      </c>
      <c r="AP114" s="1">
        <f t="shared" si="39"/>
        <v>4</v>
      </c>
      <c r="AQ114" s="1">
        <f t="shared" si="27"/>
        <v>21</v>
      </c>
      <c r="AR114" s="1">
        <f t="shared" si="40"/>
        <v>0</v>
      </c>
    </row>
    <row r="115" spans="1:44" x14ac:dyDescent="0.3">
      <c r="A115" s="1">
        <v>25176</v>
      </c>
      <c r="B115" s="1" t="s">
        <v>55</v>
      </c>
      <c r="C115" s="3" t="s">
        <v>201</v>
      </c>
      <c r="D115" s="4">
        <v>8300</v>
      </c>
      <c r="E115" s="24">
        <f>_xlfn.XLOOKUP(A115,[1]PONCEBLANC!$Q:$Q,[1]PONCEBLANC!$J:$J,100,0)</f>
        <v>60590</v>
      </c>
      <c r="F115" s="2" t="s">
        <v>133</v>
      </c>
      <c r="G115" s="2">
        <v>45904</v>
      </c>
      <c r="H115" s="2">
        <v>45915</v>
      </c>
      <c r="I115" s="2">
        <v>45917</v>
      </c>
      <c r="J115" s="2">
        <v>45952</v>
      </c>
      <c r="K115" s="2">
        <v>45947</v>
      </c>
      <c r="L115" s="2" t="s">
        <v>206</v>
      </c>
      <c r="M115" s="2">
        <v>45939</v>
      </c>
      <c r="N115" s="2">
        <v>45966</v>
      </c>
      <c r="O115" s="2">
        <v>45936</v>
      </c>
      <c r="P115" s="2">
        <v>45952</v>
      </c>
      <c r="Q115" s="2">
        <v>45967</v>
      </c>
      <c r="R115" s="2">
        <v>45989</v>
      </c>
      <c r="S115" s="2">
        <v>45989</v>
      </c>
      <c r="T115" s="2">
        <v>46010</v>
      </c>
      <c r="U115" s="1">
        <v>4</v>
      </c>
      <c r="Y115" s="1">
        <f t="shared" si="28"/>
        <v>76</v>
      </c>
      <c r="Z115" s="1">
        <f t="shared" si="29"/>
        <v>7</v>
      </c>
      <c r="AA115" s="1">
        <f t="shared" si="22"/>
        <v>69</v>
      </c>
      <c r="AB115" s="1">
        <f t="shared" si="23"/>
        <v>54</v>
      </c>
      <c r="AC115" s="1">
        <f t="shared" si="24"/>
        <v>0</v>
      </c>
      <c r="AD115" s="1">
        <f t="shared" si="30"/>
        <v>27</v>
      </c>
      <c r="AE115" s="1">
        <f t="shared" si="25"/>
        <v>2</v>
      </c>
      <c r="AF115" s="1">
        <f t="shared" si="31"/>
        <v>25</v>
      </c>
      <c r="AG115" s="1">
        <f t="shared" si="32"/>
        <v>0</v>
      </c>
      <c r="AH115" s="1">
        <f t="shared" si="26"/>
        <v>38</v>
      </c>
      <c r="AI115" s="1">
        <f t="shared" si="33"/>
        <v>37</v>
      </c>
      <c r="AJ115" s="1">
        <f t="shared" si="34"/>
        <v>18</v>
      </c>
      <c r="AK115" s="1">
        <f t="shared" si="35"/>
        <v>15</v>
      </c>
      <c r="AL115" s="1">
        <f t="shared" si="36"/>
        <v>24</v>
      </c>
      <c r="AM115" s="1" t="str">
        <f t="shared" si="37"/>
        <v>ANC MODELE</v>
      </c>
      <c r="AN115" s="1">
        <f t="shared" si="38"/>
        <v>13</v>
      </c>
      <c r="AO115" s="1">
        <f t="shared" si="41"/>
        <v>1</v>
      </c>
      <c r="AP115" s="1">
        <f t="shared" si="39"/>
        <v>11</v>
      </c>
      <c r="AQ115" s="1">
        <f t="shared" si="27"/>
        <v>16</v>
      </c>
      <c r="AR115" s="1">
        <f t="shared" si="40"/>
        <v>15</v>
      </c>
    </row>
    <row r="116" spans="1:44" x14ac:dyDescent="0.3">
      <c r="A116" s="1">
        <v>25177</v>
      </c>
      <c r="B116" s="1" t="s">
        <v>17</v>
      </c>
      <c r="C116" s="3" t="s">
        <v>202</v>
      </c>
      <c r="D116" s="4">
        <v>10000</v>
      </c>
      <c r="E116" s="24">
        <f>_xlfn.XLOOKUP(A116,[1]PONCEBLANC!$Q:$Q,[1]PONCEBLANC!$J:$J,100,0)</f>
        <v>67500</v>
      </c>
      <c r="F116" s="2" t="s">
        <v>134</v>
      </c>
      <c r="G116" s="2">
        <v>45910</v>
      </c>
      <c r="H116" s="2">
        <v>45916</v>
      </c>
      <c r="I116" s="2">
        <v>45918</v>
      </c>
      <c r="J116" s="2">
        <v>45975</v>
      </c>
      <c r="K116" s="2">
        <v>46301</v>
      </c>
      <c r="L116" s="2" t="s">
        <v>206</v>
      </c>
      <c r="N116" s="2">
        <v>46062</v>
      </c>
      <c r="O116" s="2">
        <v>46062</v>
      </c>
      <c r="P116" s="2">
        <v>46038</v>
      </c>
      <c r="Q116" s="2">
        <v>46065</v>
      </c>
      <c r="R116" s="2">
        <v>46031</v>
      </c>
      <c r="S116" s="2">
        <v>46031</v>
      </c>
      <c r="T116" s="2">
        <v>46059</v>
      </c>
      <c r="U116" s="1">
        <v>8</v>
      </c>
      <c r="V116" s="3" t="s">
        <v>364</v>
      </c>
      <c r="Y116" s="1">
        <f t="shared" si="28"/>
        <v>107</v>
      </c>
      <c r="Z116" s="1">
        <f t="shared" si="29"/>
        <v>4</v>
      </c>
      <c r="AA116" s="1">
        <f t="shared" si="22"/>
        <v>103</v>
      </c>
      <c r="AB116" s="1">
        <f t="shared" si="23"/>
        <v>83</v>
      </c>
      <c r="AC116" s="1">
        <f t="shared" si="24"/>
        <v>0</v>
      </c>
      <c r="AD116" s="1">
        <f t="shared" si="30"/>
        <v>88</v>
      </c>
      <c r="AE116" s="1">
        <f t="shared" si="25"/>
        <v>2</v>
      </c>
      <c r="AF116" s="1">
        <f t="shared" si="31"/>
        <v>41</v>
      </c>
      <c r="AG116" s="1">
        <f t="shared" si="32"/>
        <v>45</v>
      </c>
      <c r="AH116" s="1">
        <f t="shared" si="26"/>
        <v>107</v>
      </c>
      <c r="AI116" s="1">
        <f t="shared" si="33"/>
        <v>104</v>
      </c>
      <c r="AJ116" s="1" t="str">
        <f t="shared" si="34"/>
        <v>PAS DE DATE PAPIER</v>
      </c>
      <c r="AK116" s="1">
        <f t="shared" si="35"/>
        <v>104</v>
      </c>
      <c r="AL116" s="1">
        <f t="shared" si="36"/>
        <v>275</v>
      </c>
      <c r="AM116" s="1" t="str">
        <f t="shared" si="37"/>
        <v>ANC MODELE</v>
      </c>
      <c r="AN116" s="1">
        <f t="shared" si="38"/>
        <v>-173</v>
      </c>
      <c r="AO116" s="1">
        <f t="shared" si="41"/>
        <v>3</v>
      </c>
      <c r="AP116" s="1">
        <f t="shared" si="39"/>
        <v>19</v>
      </c>
      <c r="AQ116" s="1">
        <f t="shared" si="27"/>
        <v>-26</v>
      </c>
      <c r="AR116" s="1">
        <f t="shared" si="40"/>
        <v>20</v>
      </c>
    </row>
    <row r="117" spans="1:44" x14ac:dyDescent="0.3">
      <c r="A117" s="1">
        <v>25178</v>
      </c>
      <c r="B117" s="1" t="s">
        <v>34</v>
      </c>
      <c r="C117" s="3" t="s">
        <v>207</v>
      </c>
      <c r="D117" s="4">
        <v>1000</v>
      </c>
      <c r="E117" s="24">
        <f>_xlfn.XLOOKUP(A117,[1]PONCEBLANC!$Q:$Q,[1]PONCEBLANC!$J:$J,100,0)</f>
        <v>100</v>
      </c>
      <c r="F117" s="2" t="s">
        <v>136</v>
      </c>
      <c r="G117" s="2" t="s">
        <v>450</v>
      </c>
      <c r="H117" s="2">
        <v>45917</v>
      </c>
      <c r="I117" s="2">
        <v>45918</v>
      </c>
      <c r="J117" s="2">
        <v>45929</v>
      </c>
      <c r="K117" s="2">
        <v>45918</v>
      </c>
      <c r="L117" s="2" t="s">
        <v>315</v>
      </c>
      <c r="N117" s="2">
        <v>45936</v>
      </c>
      <c r="O117" s="2">
        <v>45937</v>
      </c>
      <c r="P117" s="2">
        <v>45939</v>
      </c>
      <c r="Q117" s="2">
        <v>45946</v>
      </c>
      <c r="R117" s="2">
        <v>45982</v>
      </c>
      <c r="S117" s="2">
        <v>45982</v>
      </c>
      <c r="T117" s="2">
        <v>45982</v>
      </c>
      <c r="U117" s="1">
        <v>1</v>
      </c>
      <c r="Y117" s="1" t="str">
        <f t="shared" si="28"/>
        <v>DATE MANQUANTE</v>
      </c>
      <c r="Z117" s="1" t="str">
        <f t="shared" si="29"/>
        <v>DATE MANQUANTE</v>
      </c>
      <c r="AA117" s="1">
        <f t="shared" si="22"/>
        <v>47</v>
      </c>
      <c r="AB117" s="1">
        <f t="shared" si="23"/>
        <v>47</v>
      </c>
      <c r="AC117" s="1">
        <f t="shared" si="24"/>
        <v>0</v>
      </c>
      <c r="AD117" s="1">
        <f t="shared" si="30"/>
        <v>16</v>
      </c>
      <c r="AE117" s="1">
        <f t="shared" si="25"/>
        <v>1</v>
      </c>
      <c r="AF117" s="1">
        <f t="shared" si="31"/>
        <v>7</v>
      </c>
      <c r="AG117" s="1">
        <f t="shared" si="32"/>
        <v>8</v>
      </c>
      <c r="AH117" s="1">
        <f t="shared" si="26"/>
        <v>21</v>
      </c>
      <c r="AI117" s="1">
        <f t="shared" si="33"/>
        <v>13</v>
      </c>
      <c r="AJ117" s="1" t="str">
        <f t="shared" si="34"/>
        <v>PAS DE DATE PAPIER</v>
      </c>
      <c r="AK117" s="1">
        <f t="shared" si="35"/>
        <v>14</v>
      </c>
      <c r="AL117" s="1">
        <f t="shared" si="36"/>
        <v>1</v>
      </c>
      <c r="AM117" s="1" t="str">
        <f t="shared" si="37"/>
        <v>ANC FAB</v>
      </c>
      <c r="AN117" s="1">
        <f t="shared" si="38"/>
        <v>12</v>
      </c>
      <c r="AO117" s="1">
        <f t="shared" si="41"/>
        <v>8</v>
      </c>
      <c r="AP117" s="1">
        <f t="shared" si="39"/>
        <v>5</v>
      </c>
      <c r="AQ117" s="1">
        <f t="shared" si="27"/>
        <v>26</v>
      </c>
      <c r="AR117" s="1">
        <f t="shared" si="40"/>
        <v>0</v>
      </c>
    </row>
    <row r="118" spans="1:44" x14ac:dyDescent="0.3">
      <c r="A118" s="1">
        <v>25179</v>
      </c>
      <c r="B118" s="1" t="s">
        <v>62</v>
      </c>
      <c r="C118" s="3" t="s">
        <v>208</v>
      </c>
      <c r="D118" s="4">
        <v>2000</v>
      </c>
      <c r="E118" s="24">
        <f>_xlfn.XLOOKUP(A118,[1]PONCEBLANC!$Q:$Q,[1]PONCEBLANC!$J:$J,100,0)</f>
        <v>12040</v>
      </c>
      <c r="F118" s="2" t="s">
        <v>191</v>
      </c>
      <c r="G118" s="2">
        <v>45916</v>
      </c>
      <c r="H118" s="2">
        <v>45918</v>
      </c>
      <c r="I118" s="2">
        <v>45918</v>
      </c>
      <c r="J118" s="2">
        <v>45936</v>
      </c>
      <c r="K118" s="2">
        <v>45925</v>
      </c>
      <c r="L118" s="2" t="s">
        <v>315</v>
      </c>
      <c r="N118" s="2">
        <v>45936</v>
      </c>
      <c r="O118" s="2">
        <v>45937</v>
      </c>
      <c r="P118" s="2">
        <v>45947</v>
      </c>
      <c r="Q118" s="2">
        <v>45946</v>
      </c>
      <c r="R118" s="2">
        <v>45982</v>
      </c>
      <c r="S118" s="2">
        <v>45982</v>
      </c>
      <c r="T118" s="2">
        <v>45982</v>
      </c>
      <c r="U118" s="1">
        <v>1</v>
      </c>
      <c r="Y118" s="1">
        <f t="shared" si="28"/>
        <v>48</v>
      </c>
      <c r="Z118" s="1">
        <f t="shared" si="29"/>
        <v>2</v>
      </c>
      <c r="AA118" s="1">
        <f t="shared" si="22"/>
        <v>46</v>
      </c>
      <c r="AB118" s="1">
        <f t="shared" si="23"/>
        <v>46</v>
      </c>
      <c r="AC118" s="1">
        <f t="shared" si="24"/>
        <v>0</v>
      </c>
      <c r="AD118" s="1">
        <f t="shared" si="30"/>
        <v>21</v>
      </c>
      <c r="AE118" s="1">
        <f t="shared" si="25"/>
        <v>0</v>
      </c>
      <c r="AF118" s="1">
        <f t="shared" si="31"/>
        <v>12</v>
      </c>
      <c r="AG118" s="1">
        <f t="shared" si="32"/>
        <v>9</v>
      </c>
      <c r="AH118" s="1">
        <f t="shared" si="26"/>
        <v>20</v>
      </c>
      <c r="AI118" s="1">
        <f t="shared" si="33"/>
        <v>12</v>
      </c>
      <c r="AJ118" s="1" t="str">
        <f t="shared" si="34"/>
        <v>PAS DE DATE PAPIER</v>
      </c>
      <c r="AK118" s="1">
        <f t="shared" si="35"/>
        <v>13</v>
      </c>
      <c r="AL118" s="1">
        <f t="shared" si="36"/>
        <v>5</v>
      </c>
      <c r="AM118" s="1" t="str">
        <f t="shared" si="37"/>
        <v>ANC FAB</v>
      </c>
      <c r="AN118" s="1">
        <f t="shared" si="38"/>
        <v>7</v>
      </c>
      <c r="AO118" s="1">
        <f t="shared" si="41"/>
        <v>8</v>
      </c>
      <c r="AP118" s="1">
        <f t="shared" si="39"/>
        <v>1</v>
      </c>
      <c r="AQ118" s="1">
        <f t="shared" si="27"/>
        <v>25</v>
      </c>
      <c r="AR118" s="1">
        <f t="shared" si="40"/>
        <v>0</v>
      </c>
    </row>
    <row r="119" spans="1:44" x14ac:dyDescent="0.3">
      <c r="A119" s="1">
        <v>25180</v>
      </c>
      <c r="B119" s="1" t="s">
        <v>17</v>
      </c>
      <c r="C119" s="3" t="s">
        <v>209</v>
      </c>
      <c r="D119" s="4">
        <v>3000</v>
      </c>
      <c r="E119" s="24">
        <f>_xlfn.XLOOKUP(A119,[1]PONCEBLANC!$Q:$Q,[1]PONCEBLANC!$J:$J,100,0)</f>
        <v>15720</v>
      </c>
      <c r="F119" s="2" t="s">
        <v>149</v>
      </c>
      <c r="G119" s="2">
        <v>45911</v>
      </c>
      <c r="H119" s="2">
        <v>45924</v>
      </c>
      <c r="I119" s="2">
        <v>45925</v>
      </c>
      <c r="J119" s="2">
        <v>45975</v>
      </c>
      <c r="K119" s="2">
        <v>45992</v>
      </c>
      <c r="L119" s="2" t="s">
        <v>315</v>
      </c>
      <c r="N119" s="2">
        <v>46002</v>
      </c>
      <c r="O119" s="2">
        <v>45967</v>
      </c>
      <c r="P119" s="2">
        <v>46014</v>
      </c>
      <c r="Q119" s="2">
        <v>46010</v>
      </c>
      <c r="R119" s="2">
        <v>46045</v>
      </c>
      <c r="S119" s="2">
        <v>46052</v>
      </c>
      <c r="T119" s="2">
        <v>46059</v>
      </c>
      <c r="U119" s="4">
        <v>2</v>
      </c>
      <c r="Y119" s="1">
        <f t="shared" si="28"/>
        <v>106</v>
      </c>
      <c r="Z119" s="1">
        <f t="shared" si="29"/>
        <v>9</v>
      </c>
      <c r="AA119" s="1">
        <f t="shared" si="22"/>
        <v>97</v>
      </c>
      <c r="AB119" s="1">
        <f t="shared" si="23"/>
        <v>92</v>
      </c>
      <c r="AC119" s="1">
        <f t="shared" si="24"/>
        <v>5</v>
      </c>
      <c r="AD119" s="1">
        <f t="shared" si="30"/>
        <v>64</v>
      </c>
      <c r="AE119" s="1">
        <f t="shared" si="25"/>
        <v>1</v>
      </c>
      <c r="AF119" s="1">
        <f t="shared" si="31"/>
        <v>36</v>
      </c>
      <c r="AG119" s="1">
        <f t="shared" si="32"/>
        <v>27</v>
      </c>
      <c r="AH119" s="1">
        <f t="shared" si="26"/>
        <v>62</v>
      </c>
      <c r="AI119" s="1">
        <f t="shared" si="33"/>
        <v>56</v>
      </c>
      <c r="AJ119" s="1" t="str">
        <f t="shared" si="34"/>
        <v>PAS DE DATE PAPIER</v>
      </c>
      <c r="AK119" s="1">
        <f t="shared" si="35"/>
        <v>31</v>
      </c>
      <c r="AL119" s="1">
        <f t="shared" si="36"/>
        <v>48</v>
      </c>
      <c r="AM119" s="1" t="str">
        <f t="shared" si="37"/>
        <v>ANC FAB</v>
      </c>
      <c r="AN119" s="1">
        <f t="shared" si="38"/>
        <v>8</v>
      </c>
      <c r="AO119" s="1">
        <f t="shared" si="41"/>
        <v>6</v>
      </c>
      <c r="AP119" s="1">
        <f t="shared" si="39"/>
        <v>2</v>
      </c>
      <c r="AQ119" s="1">
        <f t="shared" si="27"/>
        <v>28</v>
      </c>
      <c r="AR119" s="1">
        <f t="shared" si="40"/>
        <v>5</v>
      </c>
    </row>
    <row r="120" spans="1:44" x14ac:dyDescent="0.3">
      <c r="A120" s="1">
        <v>25181</v>
      </c>
      <c r="B120" s="1" t="s">
        <v>9</v>
      </c>
      <c r="C120" s="3" t="s">
        <v>210</v>
      </c>
      <c r="D120" s="4">
        <v>1000</v>
      </c>
      <c r="E120" s="24">
        <f>_xlfn.XLOOKUP(A120,[1]PONCEBLANC!$Q:$Q,[1]PONCEBLANC!$J:$J,100,0)</f>
        <v>7820</v>
      </c>
      <c r="F120" s="2" t="s">
        <v>136</v>
      </c>
      <c r="G120" s="2">
        <v>45699</v>
      </c>
      <c r="H120" s="2">
        <v>45924</v>
      </c>
      <c r="I120" s="2">
        <v>45925</v>
      </c>
      <c r="J120" s="2">
        <v>45939</v>
      </c>
      <c r="K120" s="2">
        <v>45936</v>
      </c>
      <c r="L120" s="2" t="s">
        <v>315</v>
      </c>
      <c r="N120" s="2">
        <v>45959</v>
      </c>
      <c r="O120" s="2">
        <v>45966</v>
      </c>
      <c r="P120" s="2">
        <v>45947</v>
      </c>
      <c r="Q120" s="2">
        <v>45967</v>
      </c>
      <c r="R120" s="2">
        <v>45989</v>
      </c>
      <c r="S120" s="2">
        <v>45989</v>
      </c>
      <c r="T120" s="2">
        <v>45989</v>
      </c>
      <c r="U120" s="1">
        <v>1</v>
      </c>
      <c r="Y120" s="1">
        <f t="shared" si="28"/>
        <v>208</v>
      </c>
      <c r="Z120" s="1">
        <f t="shared" si="29"/>
        <v>161</v>
      </c>
      <c r="AA120" s="1">
        <f t="shared" si="22"/>
        <v>47</v>
      </c>
      <c r="AB120" s="1">
        <f t="shared" si="23"/>
        <v>47</v>
      </c>
      <c r="AC120" s="1">
        <f t="shared" si="24"/>
        <v>0</v>
      </c>
      <c r="AD120" s="1">
        <f t="shared" si="30"/>
        <v>17</v>
      </c>
      <c r="AE120" s="1">
        <f t="shared" si="25"/>
        <v>1</v>
      </c>
      <c r="AF120" s="1">
        <f t="shared" si="31"/>
        <v>10</v>
      </c>
      <c r="AG120" s="1">
        <f t="shared" si="32"/>
        <v>6</v>
      </c>
      <c r="AH120" s="1">
        <f t="shared" si="26"/>
        <v>31</v>
      </c>
      <c r="AI120" s="1">
        <f t="shared" si="33"/>
        <v>25</v>
      </c>
      <c r="AJ120" s="1" t="str">
        <f t="shared" si="34"/>
        <v>PAS DE DATE PAPIER</v>
      </c>
      <c r="AK120" s="1">
        <f t="shared" si="35"/>
        <v>30</v>
      </c>
      <c r="AL120" s="1">
        <f t="shared" si="36"/>
        <v>8</v>
      </c>
      <c r="AM120" s="1" t="str">
        <f t="shared" si="37"/>
        <v>ANC FAB</v>
      </c>
      <c r="AN120" s="1">
        <f t="shared" si="38"/>
        <v>17</v>
      </c>
      <c r="AO120" s="1">
        <f t="shared" si="41"/>
        <v>6</v>
      </c>
      <c r="AP120" s="1">
        <f t="shared" si="39"/>
        <v>14</v>
      </c>
      <c r="AQ120" s="1">
        <f t="shared" si="27"/>
        <v>16</v>
      </c>
      <c r="AR120" s="1">
        <f t="shared" si="40"/>
        <v>0</v>
      </c>
    </row>
    <row r="121" spans="1:44" x14ac:dyDescent="0.3">
      <c r="A121" s="1">
        <v>25182</v>
      </c>
      <c r="B121" s="1" t="s">
        <v>60</v>
      </c>
      <c r="C121" s="3" t="s">
        <v>211</v>
      </c>
      <c r="D121" s="4">
        <v>1000</v>
      </c>
      <c r="E121" s="24">
        <f>_xlfn.XLOOKUP(A121,[1]PONCEBLANC!$Q:$Q,[1]PONCEBLANC!$J:$J,100,0)</f>
        <v>6360</v>
      </c>
      <c r="F121" s="2" t="s">
        <v>135</v>
      </c>
      <c r="G121" s="2">
        <v>45819</v>
      </c>
      <c r="H121" s="2">
        <v>45924</v>
      </c>
      <c r="I121" s="2">
        <v>45925</v>
      </c>
      <c r="J121" s="2">
        <v>45939</v>
      </c>
      <c r="K121" s="2">
        <v>45925</v>
      </c>
      <c r="L121" s="2">
        <v>45939</v>
      </c>
      <c r="M121" s="2">
        <v>45926</v>
      </c>
      <c r="N121" s="2">
        <v>45950</v>
      </c>
      <c r="O121" s="2" t="s">
        <v>199</v>
      </c>
      <c r="P121" s="2">
        <v>45947</v>
      </c>
      <c r="Q121" s="2">
        <v>45953</v>
      </c>
      <c r="R121" s="2">
        <v>45975</v>
      </c>
      <c r="S121" s="2">
        <v>45975</v>
      </c>
      <c r="T121" s="2">
        <v>45975</v>
      </c>
      <c r="U121" s="1">
        <v>1</v>
      </c>
      <c r="Y121" s="1">
        <f t="shared" si="28"/>
        <v>112</v>
      </c>
      <c r="Z121" s="1">
        <f t="shared" si="29"/>
        <v>75</v>
      </c>
      <c r="AA121" s="1">
        <f t="shared" si="22"/>
        <v>37</v>
      </c>
      <c r="AB121" s="1">
        <f t="shared" si="23"/>
        <v>37</v>
      </c>
      <c r="AC121" s="1">
        <f t="shared" si="24"/>
        <v>0</v>
      </c>
      <c r="AD121" s="1">
        <f t="shared" si="30"/>
        <v>17</v>
      </c>
      <c r="AE121" s="1">
        <f t="shared" si="25"/>
        <v>1</v>
      </c>
      <c r="AF121" s="1">
        <f t="shared" si="31"/>
        <v>10</v>
      </c>
      <c r="AG121" s="1">
        <f t="shared" si="32"/>
        <v>6</v>
      </c>
      <c r="AH121" s="1">
        <f t="shared" si="26"/>
        <v>21</v>
      </c>
      <c r="AI121" s="1">
        <f t="shared" si="33"/>
        <v>18</v>
      </c>
      <c r="AJ121" s="1">
        <f t="shared" si="34"/>
        <v>2</v>
      </c>
      <c r="AK121" s="1" t="str">
        <f t="shared" si="35"/>
        <v>STOCK</v>
      </c>
      <c r="AL121" s="1">
        <f t="shared" si="36"/>
        <v>1</v>
      </c>
      <c r="AM121" s="1">
        <f t="shared" si="37"/>
        <v>11</v>
      </c>
      <c r="AN121" s="1">
        <f t="shared" si="38"/>
        <v>7</v>
      </c>
      <c r="AO121" s="1">
        <f t="shared" si="41"/>
        <v>3</v>
      </c>
      <c r="AP121" s="1">
        <f t="shared" si="39"/>
        <v>4</v>
      </c>
      <c r="AQ121" s="1">
        <f t="shared" si="27"/>
        <v>16</v>
      </c>
      <c r="AR121" s="1">
        <f t="shared" si="40"/>
        <v>0</v>
      </c>
    </row>
    <row r="122" spans="1:44" x14ac:dyDescent="0.3">
      <c r="A122" s="1">
        <v>25183</v>
      </c>
      <c r="B122" s="1" t="s">
        <v>212</v>
      </c>
      <c r="C122" s="3" t="s">
        <v>213</v>
      </c>
      <c r="D122" s="4">
        <v>350</v>
      </c>
      <c r="E122" s="24">
        <f>_xlfn.XLOOKUP(A122,[1]PONCEBLANC!$Q:$Q,[1]PONCEBLANC!$J:$J,100,0)</f>
        <v>10272</v>
      </c>
      <c r="F122" s="2" t="s">
        <v>156</v>
      </c>
      <c r="G122" s="2">
        <v>45868</v>
      </c>
      <c r="H122" s="2">
        <v>45924</v>
      </c>
      <c r="I122" s="2">
        <v>45929</v>
      </c>
      <c r="J122" s="2">
        <v>45967</v>
      </c>
      <c r="K122" s="2">
        <v>45979</v>
      </c>
      <c r="L122" s="2">
        <v>45979</v>
      </c>
      <c r="N122" s="2">
        <v>45995</v>
      </c>
      <c r="O122" s="2">
        <v>45967</v>
      </c>
      <c r="P122" s="2">
        <v>46010</v>
      </c>
      <c r="Q122" s="2">
        <v>45995</v>
      </c>
      <c r="R122" s="2">
        <v>46024</v>
      </c>
      <c r="S122" s="2">
        <v>46031</v>
      </c>
      <c r="T122" s="2">
        <v>46031</v>
      </c>
      <c r="U122" s="1">
        <v>1</v>
      </c>
      <c r="Y122" s="1">
        <f t="shared" si="28"/>
        <v>117</v>
      </c>
      <c r="Z122" s="1">
        <f t="shared" si="29"/>
        <v>40</v>
      </c>
      <c r="AA122" s="1">
        <f t="shared" si="22"/>
        <v>77</v>
      </c>
      <c r="AB122" s="1">
        <f t="shared" si="23"/>
        <v>77</v>
      </c>
      <c r="AC122" s="1">
        <f t="shared" si="24"/>
        <v>5</v>
      </c>
      <c r="AD122" s="1">
        <f t="shared" si="30"/>
        <v>62</v>
      </c>
      <c r="AE122" s="1">
        <f t="shared" si="25"/>
        <v>3</v>
      </c>
      <c r="AF122" s="1">
        <f t="shared" si="31"/>
        <v>28</v>
      </c>
      <c r="AG122" s="1">
        <f t="shared" si="32"/>
        <v>31</v>
      </c>
      <c r="AH122" s="1">
        <f t="shared" si="26"/>
        <v>51</v>
      </c>
      <c r="AI122" s="1">
        <f t="shared" si="33"/>
        <v>51</v>
      </c>
      <c r="AJ122" s="1" t="str">
        <f t="shared" si="34"/>
        <v>PAS DE DATE PAPIER</v>
      </c>
      <c r="AK122" s="1">
        <f t="shared" si="35"/>
        <v>31</v>
      </c>
      <c r="AL122" s="1">
        <f t="shared" si="36"/>
        <v>39</v>
      </c>
      <c r="AM122" s="1">
        <f t="shared" si="37"/>
        <v>39</v>
      </c>
      <c r="AN122" s="1">
        <f t="shared" si="38"/>
        <v>12</v>
      </c>
      <c r="AO122" s="1">
        <f t="shared" si="41"/>
        <v>0</v>
      </c>
      <c r="AP122" s="1">
        <f t="shared" si="39"/>
        <v>11</v>
      </c>
      <c r="AQ122" s="1">
        <f t="shared" si="27"/>
        <v>15</v>
      </c>
      <c r="AR122" s="1">
        <f t="shared" si="40"/>
        <v>0</v>
      </c>
    </row>
    <row r="123" spans="1:44" x14ac:dyDescent="0.3">
      <c r="A123" s="1">
        <v>25184</v>
      </c>
      <c r="B123" s="1" t="s">
        <v>212</v>
      </c>
      <c r="C123" s="3" t="s">
        <v>214</v>
      </c>
      <c r="D123" s="4">
        <v>350</v>
      </c>
      <c r="E123" s="24">
        <f>_xlfn.XLOOKUP(A123,[1]PONCEBLANC!$Q:$Q,[1]PONCEBLANC!$J:$J,100,0)</f>
        <v>7770</v>
      </c>
      <c r="F123" s="2" t="s">
        <v>156</v>
      </c>
      <c r="G123" s="2">
        <v>45868</v>
      </c>
      <c r="H123" s="2">
        <v>45924</v>
      </c>
      <c r="I123" s="2">
        <v>45930</v>
      </c>
      <c r="J123" s="2">
        <v>45959</v>
      </c>
      <c r="K123" s="2">
        <v>45979</v>
      </c>
      <c r="L123" s="2">
        <v>45979</v>
      </c>
      <c r="N123" s="2">
        <v>45995</v>
      </c>
      <c r="O123" s="2">
        <v>45967</v>
      </c>
      <c r="P123" s="2">
        <v>46053</v>
      </c>
      <c r="Q123" s="2">
        <v>45995</v>
      </c>
      <c r="R123" s="2">
        <v>46024</v>
      </c>
      <c r="S123" s="2">
        <v>46038</v>
      </c>
      <c r="T123" s="2">
        <v>46038</v>
      </c>
      <c r="U123" s="1">
        <v>1</v>
      </c>
      <c r="Y123" s="1">
        <f t="shared" si="28"/>
        <v>122</v>
      </c>
      <c r="Z123" s="1">
        <f t="shared" si="29"/>
        <v>40</v>
      </c>
      <c r="AA123" s="1">
        <f t="shared" si="22"/>
        <v>82</v>
      </c>
      <c r="AB123" s="1">
        <f t="shared" si="23"/>
        <v>82</v>
      </c>
      <c r="AC123" s="1">
        <f t="shared" si="24"/>
        <v>10</v>
      </c>
      <c r="AD123" s="1">
        <f t="shared" si="30"/>
        <v>92</v>
      </c>
      <c r="AE123" s="1">
        <f t="shared" si="25"/>
        <v>4</v>
      </c>
      <c r="AF123" s="1">
        <f t="shared" si="31"/>
        <v>21</v>
      </c>
      <c r="AG123" s="1">
        <f t="shared" si="32"/>
        <v>67</v>
      </c>
      <c r="AH123" s="1">
        <f t="shared" si="26"/>
        <v>51</v>
      </c>
      <c r="AI123" s="1">
        <f t="shared" si="33"/>
        <v>51</v>
      </c>
      <c r="AJ123" s="1" t="str">
        <f t="shared" si="34"/>
        <v>PAS DE DATE PAPIER</v>
      </c>
      <c r="AK123" s="1">
        <f t="shared" si="35"/>
        <v>31</v>
      </c>
      <c r="AL123" s="1">
        <f t="shared" si="36"/>
        <v>39</v>
      </c>
      <c r="AM123" s="1">
        <f t="shared" si="37"/>
        <v>39</v>
      </c>
      <c r="AN123" s="1">
        <f t="shared" si="38"/>
        <v>12</v>
      </c>
      <c r="AO123" s="1">
        <f t="shared" si="41"/>
        <v>0</v>
      </c>
      <c r="AP123" s="1">
        <f t="shared" si="39"/>
        <v>41</v>
      </c>
      <c r="AQ123" s="1">
        <f t="shared" si="27"/>
        <v>-12</v>
      </c>
      <c r="AR123" s="1">
        <f t="shared" si="40"/>
        <v>0</v>
      </c>
    </row>
    <row r="124" spans="1:44" x14ac:dyDescent="0.3">
      <c r="A124" s="1">
        <v>25185</v>
      </c>
      <c r="B124" s="1" t="s">
        <v>212</v>
      </c>
      <c r="C124" s="3" t="s">
        <v>215</v>
      </c>
      <c r="D124" s="4" t="s">
        <v>216</v>
      </c>
      <c r="E124" s="24">
        <f>_xlfn.XLOOKUP(A124,[1]PONCEBLANC!$Q:$Q,[1]PONCEBLANC!$J:$J,100,0)</f>
        <v>5800</v>
      </c>
      <c r="F124" s="2" t="s">
        <v>156</v>
      </c>
      <c r="G124" s="2">
        <v>45868</v>
      </c>
      <c r="H124" s="2">
        <v>45924</v>
      </c>
      <c r="I124" s="2">
        <v>45930</v>
      </c>
      <c r="J124" s="2">
        <v>45959</v>
      </c>
      <c r="K124" s="2">
        <v>45979</v>
      </c>
      <c r="L124" s="2">
        <v>45979</v>
      </c>
      <c r="N124" s="2">
        <v>45995</v>
      </c>
      <c r="O124" s="2">
        <v>45967</v>
      </c>
      <c r="P124" s="2">
        <v>45982</v>
      </c>
      <c r="Q124" s="2">
        <v>45995</v>
      </c>
      <c r="R124" s="2">
        <v>46031</v>
      </c>
      <c r="S124" s="2">
        <v>46031</v>
      </c>
      <c r="T124" s="2">
        <v>46031</v>
      </c>
      <c r="U124" s="1">
        <v>1</v>
      </c>
      <c r="Y124" s="1">
        <f t="shared" si="28"/>
        <v>117</v>
      </c>
      <c r="Z124" s="1">
        <f t="shared" si="29"/>
        <v>40</v>
      </c>
      <c r="AA124" s="1">
        <f t="shared" si="22"/>
        <v>77</v>
      </c>
      <c r="AB124" s="1">
        <f t="shared" si="23"/>
        <v>77</v>
      </c>
      <c r="AC124" s="1">
        <f t="shared" si="24"/>
        <v>0</v>
      </c>
      <c r="AD124" s="1">
        <f t="shared" si="30"/>
        <v>42</v>
      </c>
      <c r="AE124" s="1">
        <f t="shared" si="25"/>
        <v>4</v>
      </c>
      <c r="AF124" s="1">
        <f t="shared" si="31"/>
        <v>21</v>
      </c>
      <c r="AG124" s="1">
        <f t="shared" si="32"/>
        <v>17</v>
      </c>
      <c r="AH124" s="1">
        <f t="shared" si="26"/>
        <v>51</v>
      </c>
      <c r="AI124" s="1">
        <f t="shared" si="33"/>
        <v>51</v>
      </c>
      <c r="AJ124" s="1" t="str">
        <f t="shared" si="34"/>
        <v>PAS DE DATE PAPIER</v>
      </c>
      <c r="AK124" s="1">
        <f t="shared" si="35"/>
        <v>31</v>
      </c>
      <c r="AL124" s="1">
        <f t="shared" si="36"/>
        <v>39</v>
      </c>
      <c r="AM124" s="1">
        <f t="shared" si="37"/>
        <v>39</v>
      </c>
      <c r="AN124" s="1">
        <f t="shared" si="38"/>
        <v>12</v>
      </c>
      <c r="AO124" s="1">
        <f t="shared" si="41"/>
        <v>0</v>
      </c>
      <c r="AP124" s="1">
        <f t="shared" si="39"/>
        <v>9</v>
      </c>
      <c r="AQ124" s="1">
        <f t="shared" si="27"/>
        <v>26</v>
      </c>
      <c r="AR124" s="1">
        <f t="shared" si="40"/>
        <v>0</v>
      </c>
    </row>
    <row r="125" spans="1:44" x14ac:dyDescent="0.3">
      <c r="A125" s="1">
        <v>25186</v>
      </c>
      <c r="B125" s="1" t="s">
        <v>217</v>
      </c>
      <c r="C125" s="3" t="s">
        <v>218</v>
      </c>
      <c r="D125" s="4">
        <v>7700</v>
      </c>
      <c r="E125" s="24">
        <f>_xlfn.XLOOKUP(A125,[1]PONCEBLANC!$Q:$Q,[1]PONCEBLANC!$J:$J,100,0)</f>
        <v>86933</v>
      </c>
      <c r="F125" s="2" t="s">
        <v>219</v>
      </c>
      <c r="G125" s="2">
        <v>45865</v>
      </c>
      <c r="H125" s="2">
        <v>45930</v>
      </c>
      <c r="I125" s="2">
        <v>45937</v>
      </c>
      <c r="J125" s="2">
        <v>45951</v>
      </c>
      <c r="K125" s="2">
        <v>45985</v>
      </c>
      <c r="L125" s="2">
        <v>46003</v>
      </c>
      <c r="M125" s="2">
        <v>45950</v>
      </c>
      <c r="N125" s="2">
        <v>46009</v>
      </c>
      <c r="P125" s="2">
        <v>45961</v>
      </c>
      <c r="Q125" s="2">
        <v>46015</v>
      </c>
      <c r="R125" s="2">
        <v>46045</v>
      </c>
      <c r="S125" s="2">
        <v>46073</v>
      </c>
      <c r="T125" s="2">
        <v>46108</v>
      </c>
      <c r="U125" s="1">
        <v>4</v>
      </c>
      <c r="Y125" s="1">
        <f t="shared" si="28"/>
        <v>174</v>
      </c>
      <c r="Z125" s="1">
        <f t="shared" si="29"/>
        <v>46</v>
      </c>
      <c r="AA125" s="1">
        <f t="shared" si="22"/>
        <v>128</v>
      </c>
      <c r="AB125" s="1">
        <f t="shared" si="23"/>
        <v>103</v>
      </c>
      <c r="AC125" s="1">
        <f t="shared" si="24"/>
        <v>20</v>
      </c>
      <c r="AD125" s="1">
        <f t="shared" si="30"/>
        <v>23</v>
      </c>
      <c r="AE125" s="1">
        <f t="shared" si="25"/>
        <v>5</v>
      </c>
      <c r="AF125" s="1">
        <f t="shared" si="31"/>
        <v>10</v>
      </c>
      <c r="AG125" s="1">
        <f t="shared" si="32"/>
        <v>8</v>
      </c>
      <c r="AH125" s="1">
        <f t="shared" si="26"/>
        <v>61</v>
      </c>
      <c r="AI125" s="1">
        <f t="shared" si="33"/>
        <v>57</v>
      </c>
      <c r="AJ125" s="1">
        <f t="shared" si="34"/>
        <v>14</v>
      </c>
      <c r="AK125" s="1" t="str">
        <f t="shared" si="35"/>
        <v>PAS DE DATE CARTON</v>
      </c>
      <c r="AL125" s="1">
        <f t="shared" si="36"/>
        <v>39</v>
      </c>
      <c r="AM125" s="1">
        <f t="shared" si="37"/>
        <v>53</v>
      </c>
      <c r="AN125" s="1">
        <f t="shared" si="38"/>
        <v>4</v>
      </c>
      <c r="AO125" s="1">
        <f t="shared" si="41"/>
        <v>4</v>
      </c>
      <c r="AP125" s="1">
        <f t="shared" si="39"/>
        <v>38</v>
      </c>
      <c r="AQ125" s="1">
        <f t="shared" si="27"/>
        <v>42</v>
      </c>
      <c r="AR125" s="1">
        <f t="shared" si="40"/>
        <v>25</v>
      </c>
    </row>
    <row r="126" spans="1:44" x14ac:dyDescent="0.3">
      <c r="A126" s="1">
        <v>25187</v>
      </c>
      <c r="B126" s="1" t="s">
        <v>220</v>
      </c>
      <c r="C126" s="3" t="s">
        <v>179</v>
      </c>
      <c r="D126" s="4">
        <v>110</v>
      </c>
      <c r="E126" s="24">
        <f>_xlfn.XLOOKUP(A126,[1]PONCEBLANC!$Q:$Q,[1]PONCEBLANC!$J:$J,100,0)</f>
        <v>6830</v>
      </c>
      <c r="F126" s="2" t="s">
        <v>179</v>
      </c>
      <c r="G126" s="2">
        <v>45888</v>
      </c>
      <c r="H126" s="2">
        <v>45931</v>
      </c>
      <c r="J126" s="2">
        <v>45968</v>
      </c>
      <c r="K126" s="2">
        <v>45952</v>
      </c>
      <c r="L126" s="2" t="s">
        <v>315</v>
      </c>
      <c r="N126" s="2">
        <v>45966</v>
      </c>
      <c r="O126" s="2" t="s">
        <v>199</v>
      </c>
      <c r="P126" s="2">
        <v>45982</v>
      </c>
      <c r="Q126" s="2">
        <v>45975</v>
      </c>
      <c r="R126" s="2">
        <v>46003</v>
      </c>
      <c r="S126" s="2">
        <v>46003</v>
      </c>
      <c r="T126" s="2">
        <v>46003</v>
      </c>
      <c r="U126" s="1">
        <v>1</v>
      </c>
      <c r="Y126" s="1">
        <f t="shared" si="28"/>
        <v>83</v>
      </c>
      <c r="Z126" s="1">
        <f t="shared" si="29"/>
        <v>31</v>
      </c>
      <c r="AA126" s="1">
        <f t="shared" si="22"/>
        <v>52</v>
      </c>
      <c r="AB126" s="1">
        <f t="shared" si="23"/>
        <v>52</v>
      </c>
      <c r="AC126" s="1">
        <f t="shared" si="24"/>
        <v>0</v>
      </c>
      <c r="AD126" s="1">
        <f t="shared" si="30"/>
        <v>37</v>
      </c>
      <c r="AE126" s="1" t="str">
        <f t="shared" si="25"/>
        <v>PAS DE COMMANDE MATIERE</v>
      </c>
      <c r="AF126" s="1">
        <f t="shared" si="31"/>
        <v>32834</v>
      </c>
      <c r="AG126" s="1">
        <f t="shared" si="32"/>
        <v>10</v>
      </c>
      <c r="AH126" s="1">
        <f t="shared" si="26"/>
        <v>32</v>
      </c>
      <c r="AI126" s="1">
        <f t="shared" si="33"/>
        <v>25</v>
      </c>
      <c r="AJ126" s="1" t="str">
        <f t="shared" si="34"/>
        <v>PAS DE DATE PAPIER</v>
      </c>
      <c r="AK126" s="1" t="str">
        <f t="shared" si="35"/>
        <v>STOCK</v>
      </c>
      <c r="AL126" s="1">
        <f t="shared" si="36"/>
        <v>15</v>
      </c>
      <c r="AM126" s="1" t="str">
        <f t="shared" si="37"/>
        <v>ANC FAB</v>
      </c>
      <c r="AN126" s="1">
        <f t="shared" si="38"/>
        <v>10</v>
      </c>
      <c r="AO126" s="1">
        <f t="shared" si="41"/>
        <v>7</v>
      </c>
      <c r="AP126" s="1">
        <f t="shared" si="39"/>
        <v>5</v>
      </c>
      <c r="AQ126" s="1">
        <f t="shared" si="27"/>
        <v>15</v>
      </c>
      <c r="AR126" s="1">
        <f t="shared" si="40"/>
        <v>0</v>
      </c>
    </row>
    <row r="127" spans="1:44" x14ac:dyDescent="0.3">
      <c r="A127" s="1">
        <v>25188</v>
      </c>
      <c r="B127" s="1" t="s">
        <v>107</v>
      </c>
      <c r="C127" s="3" t="s">
        <v>221</v>
      </c>
      <c r="D127" s="4">
        <v>1800</v>
      </c>
      <c r="E127" s="24">
        <f>_xlfn.XLOOKUP(A127,[1]PONCEBLANC!$Q:$Q,[1]PONCEBLANC!$J:$J,100,0)</f>
        <v>147564</v>
      </c>
      <c r="F127" s="2" t="s">
        <v>222</v>
      </c>
      <c r="G127" s="2">
        <v>45831</v>
      </c>
      <c r="H127" s="2">
        <v>45931</v>
      </c>
      <c r="I127" s="2">
        <v>45952</v>
      </c>
      <c r="K127" s="2">
        <v>46009</v>
      </c>
      <c r="L127" s="2">
        <v>46003</v>
      </c>
      <c r="N127" s="2">
        <v>46009</v>
      </c>
      <c r="O127" s="2">
        <v>45994</v>
      </c>
      <c r="Y127" s="1" t="str">
        <f t="shared" si="28"/>
        <v>DATE MANQUANTE</v>
      </c>
      <c r="Z127" s="1">
        <f t="shared" si="29"/>
        <v>72</v>
      </c>
      <c r="AA127" s="1" t="str">
        <f t="shared" ref="AA127:AA190" si="42">IF($T127="","NON LIVRE",NETWORKDAYS($H127,$T127)-1)</f>
        <v>NON LIVRE</v>
      </c>
      <c r="AB127" s="1" t="str">
        <f t="shared" ref="AB127:AB190" si="43">IF($S127="","NON LIVRE",NETWORKDAYS($H127,$S127)-1)</f>
        <v>NON LIVRE</v>
      </c>
      <c r="AC127" s="1" t="str">
        <f t="shared" ref="AC127:AC190" si="44">IF($S127="","NON LIVRE",NETWORKDAYS($R127,$S127)-1)</f>
        <v>NON LIVRE</v>
      </c>
      <c r="AD127" s="1" t="str">
        <f t="shared" si="30"/>
        <v>NON LIVRE</v>
      </c>
      <c r="AE127" s="1" t="str">
        <f t="shared" ref="AE127:AE190" si="45">IFERROR(IF($T127="","NON LIVRE",IF($I127="","PAS DE COMMANDE MATIERE",NETWORKDAYS($H127,$I127)-1)),$I127)</f>
        <v>NON LIVRE</v>
      </c>
      <c r="AF127" s="1" t="str">
        <f t="shared" si="31"/>
        <v>NON LIVRE</v>
      </c>
      <c r="AG127" s="1" t="str">
        <f t="shared" si="32"/>
        <v>NON LIVRE</v>
      </c>
      <c r="AH127" s="1" t="str">
        <f t="shared" ref="AH127:AH190" si="46">IFERROR(IF($T127="","NON LIVRE",IF($Q127="","PAS DE DEPART TIRAGES OU ACHATS",NETWORKDAYS($H127,$Q127)-1)),$Q127)</f>
        <v>NON LIVRE</v>
      </c>
      <c r="AI127" s="1" t="str">
        <f t="shared" si="33"/>
        <v>NON LIVRE</v>
      </c>
      <c r="AJ127" s="1" t="str">
        <f t="shared" si="34"/>
        <v>NON LIVRE</v>
      </c>
      <c r="AK127" s="1" t="str">
        <f t="shared" si="35"/>
        <v>NON LIVRE</v>
      </c>
      <c r="AL127" s="1" t="str">
        <f t="shared" si="36"/>
        <v>NON LIVRE</v>
      </c>
      <c r="AM127" s="1" t="str">
        <f t="shared" si="37"/>
        <v>NON LIVRE</v>
      </c>
      <c r="AN127" s="1" t="str">
        <f t="shared" si="38"/>
        <v>NON LIVRE</v>
      </c>
      <c r="AO127" s="1" t="str">
        <f t="shared" si="41"/>
        <v>NON LIVRE</v>
      </c>
      <c r="AP127" s="1" t="str">
        <f t="shared" si="39"/>
        <v>NON LIVRE</v>
      </c>
      <c r="AQ127" s="1" t="str">
        <f t="shared" si="27"/>
        <v>NON LIVRE</v>
      </c>
      <c r="AR127" s="1" t="str">
        <f t="shared" si="40"/>
        <v>NON LIVRE</v>
      </c>
    </row>
    <row r="128" spans="1:44" x14ac:dyDescent="0.3">
      <c r="A128" s="1">
        <v>25189</v>
      </c>
      <c r="B128" s="1" t="s">
        <v>62</v>
      </c>
      <c r="C128" s="3" t="s">
        <v>223</v>
      </c>
      <c r="D128" s="4">
        <v>1800</v>
      </c>
      <c r="E128" s="24">
        <f>_xlfn.XLOOKUP(A128,[1]PONCEBLANC!$Q:$Q,[1]PONCEBLANC!$J:$J,100,0)</f>
        <v>59400</v>
      </c>
      <c r="F128" s="2" t="s">
        <v>224</v>
      </c>
      <c r="G128" s="2">
        <v>45924</v>
      </c>
      <c r="H128" s="2">
        <v>45931</v>
      </c>
      <c r="I128" s="2">
        <v>45932</v>
      </c>
      <c r="J128" s="2">
        <v>45964</v>
      </c>
      <c r="K128" s="2">
        <v>45939</v>
      </c>
      <c r="L128" s="2" t="s">
        <v>315</v>
      </c>
      <c r="M128" s="2">
        <v>45956</v>
      </c>
      <c r="N128" s="2">
        <v>45968</v>
      </c>
      <c r="O128" s="2">
        <v>45966</v>
      </c>
      <c r="P128" s="2">
        <v>45965</v>
      </c>
      <c r="Q128" s="2">
        <v>45975</v>
      </c>
      <c r="R128" s="2">
        <v>46003</v>
      </c>
      <c r="S128" s="2">
        <v>46003</v>
      </c>
      <c r="T128" s="2">
        <v>46010</v>
      </c>
      <c r="U128" s="1">
        <v>2</v>
      </c>
      <c r="Y128" s="1">
        <f t="shared" si="28"/>
        <v>62</v>
      </c>
      <c r="Z128" s="1">
        <f t="shared" si="29"/>
        <v>5</v>
      </c>
      <c r="AA128" s="1">
        <f t="shared" si="42"/>
        <v>57</v>
      </c>
      <c r="AB128" s="1">
        <f t="shared" si="43"/>
        <v>52</v>
      </c>
      <c r="AC128" s="1">
        <f t="shared" si="44"/>
        <v>0</v>
      </c>
      <c r="AD128" s="1">
        <f t="shared" si="30"/>
        <v>24</v>
      </c>
      <c r="AE128" s="1">
        <f t="shared" si="45"/>
        <v>1</v>
      </c>
      <c r="AF128" s="1">
        <f t="shared" si="31"/>
        <v>22</v>
      </c>
      <c r="AG128" s="1">
        <f t="shared" si="32"/>
        <v>1</v>
      </c>
      <c r="AH128" s="1">
        <f t="shared" si="46"/>
        <v>32</v>
      </c>
      <c r="AI128" s="1">
        <f t="shared" si="33"/>
        <v>27</v>
      </c>
      <c r="AJ128" s="1">
        <f t="shared" si="34"/>
        <v>17</v>
      </c>
      <c r="AK128" s="1">
        <f t="shared" si="35"/>
        <v>25</v>
      </c>
      <c r="AL128" s="1">
        <f t="shared" si="36"/>
        <v>6</v>
      </c>
      <c r="AM128" s="1" t="str">
        <f t="shared" si="37"/>
        <v>ANC FAB</v>
      </c>
      <c r="AN128" s="1">
        <f t="shared" si="38"/>
        <v>21</v>
      </c>
      <c r="AO128" s="1">
        <f t="shared" si="41"/>
        <v>5</v>
      </c>
      <c r="AP128" s="1">
        <f t="shared" si="39"/>
        <v>8</v>
      </c>
      <c r="AQ128" s="1">
        <f t="shared" si="27"/>
        <v>20</v>
      </c>
      <c r="AR128" s="1">
        <f t="shared" si="40"/>
        <v>5</v>
      </c>
    </row>
    <row r="129" spans="1:44" x14ac:dyDescent="0.3">
      <c r="A129" s="1">
        <v>25190</v>
      </c>
      <c r="B129" s="1" t="s">
        <v>62</v>
      </c>
      <c r="C129" s="3" t="s">
        <v>225</v>
      </c>
      <c r="D129" s="4">
        <f>2795+500+1205</f>
        <v>4500</v>
      </c>
      <c r="E129" s="24">
        <f>_xlfn.XLOOKUP(A129,[1]PONCEBLANC!$Q:$Q,[1]PONCEBLANC!$J:$J,100,0)</f>
        <v>53325</v>
      </c>
      <c r="F129" s="2" t="s">
        <v>314</v>
      </c>
      <c r="G129" s="2">
        <v>45924</v>
      </c>
      <c r="H129" s="2">
        <v>45931</v>
      </c>
      <c r="I129" s="2">
        <v>45932</v>
      </c>
      <c r="J129" s="2">
        <v>45965</v>
      </c>
      <c r="K129" s="2">
        <v>45939</v>
      </c>
      <c r="L129" s="2" t="s">
        <v>315</v>
      </c>
      <c r="M129" s="2">
        <v>45951</v>
      </c>
      <c r="N129" s="2">
        <v>45966</v>
      </c>
      <c r="O129" s="2">
        <v>45967</v>
      </c>
      <c r="P129" s="2">
        <v>45965</v>
      </c>
      <c r="Q129" s="2">
        <v>46030</v>
      </c>
      <c r="R129" s="2">
        <v>46003</v>
      </c>
      <c r="S129" s="2">
        <v>46003</v>
      </c>
      <c r="T129" s="2">
        <v>46052</v>
      </c>
      <c r="U129" s="1">
        <v>4</v>
      </c>
      <c r="Y129" s="1">
        <f t="shared" si="28"/>
        <v>92</v>
      </c>
      <c r="Z129" s="1">
        <f t="shared" si="29"/>
        <v>5</v>
      </c>
      <c r="AA129" s="1">
        <f t="shared" si="42"/>
        <v>87</v>
      </c>
      <c r="AB129" s="1">
        <f t="shared" si="43"/>
        <v>52</v>
      </c>
      <c r="AC129" s="1">
        <f t="shared" si="44"/>
        <v>0</v>
      </c>
      <c r="AD129" s="1">
        <f t="shared" si="30"/>
        <v>24</v>
      </c>
      <c r="AE129" s="1">
        <f t="shared" si="45"/>
        <v>1</v>
      </c>
      <c r="AF129" s="1">
        <f t="shared" si="31"/>
        <v>23</v>
      </c>
      <c r="AG129" s="1">
        <f t="shared" si="32"/>
        <v>0</v>
      </c>
      <c r="AH129" s="1">
        <f t="shared" si="46"/>
        <v>71</v>
      </c>
      <c r="AI129" s="1">
        <f t="shared" si="33"/>
        <v>25</v>
      </c>
      <c r="AJ129" s="1">
        <f t="shared" si="34"/>
        <v>14</v>
      </c>
      <c r="AK129" s="1">
        <f t="shared" si="35"/>
        <v>26</v>
      </c>
      <c r="AL129" s="1">
        <f t="shared" si="36"/>
        <v>6</v>
      </c>
      <c r="AM129" s="1" t="str">
        <f t="shared" si="37"/>
        <v>ANC FAB</v>
      </c>
      <c r="AN129" s="1">
        <f t="shared" si="38"/>
        <v>19</v>
      </c>
      <c r="AO129" s="1">
        <f t="shared" si="41"/>
        <v>46</v>
      </c>
      <c r="AP129" s="1">
        <f t="shared" si="39"/>
        <v>47</v>
      </c>
      <c r="AQ129" s="1">
        <f t="shared" si="27"/>
        <v>-21</v>
      </c>
      <c r="AR129" s="1">
        <f t="shared" si="40"/>
        <v>35</v>
      </c>
    </row>
    <row r="130" spans="1:44" x14ac:dyDescent="0.3">
      <c r="A130" s="1">
        <v>25191</v>
      </c>
      <c r="B130" s="1" t="s">
        <v>62</v>
      </c>
      <c r="C130" s="3" t="s">
        <v>226</v>
      </c>
      <c r="D130" s="4">
        <f>3045+200+355+500+200</f>
        <v>4300</v>
      </c>
      <c r="E130" s="24">
        <f>_xlfn.XLOOKUP(A130,[1]PONCEBLANC!$Q:$Q,[1]PONCEBLANC!$J:$J,100,0)</f>
        <v>22962</v>
      </c>
      <c r="F130" s="2" t="s">
        <v>227</v>
      </c>
      <c r="G130" s="2">
        <v>45924</v>
      </c>
      <c r="H130" s="2">
        <v>45931</v>
      </c>
      <c r="I130" s="2">
        <v>45932</v>
      </c>
      <c r="J130" s="2">
        <v>45965</v>
      </c>
      <c r="K130" s="2">
        <v>45943</v>
      </c>
      <c r="L130" s="2" t="s">
        <v>315</v>
      </c>
      <c r="N130" s="2">
        <v>45967</v>
      </c>
      <c r="O130" s="2">
        <v>45967</v>
      </c>
      <c r="P130" s="2">
        <v>45965</v>
      </c>
      <c r="Q130" s="2">
        <v>45968</v>
      </c>
      <c r="R130" s="2">
        <v>45996</v>
      </c>
      <c r="S130" s="2">
        <v>45996</v>
      </c>
      <c r="T130" s="2">
        <f>S130</f>
        <v>45996</v>
      </c>
      <c r="U130" s="1">
        <v>1</v>
      </c>
      <c r="Y130" s="1">
        <f t="shared" si="28"/>
        <v>52</v>
      </c>
      <c r="Z130" s="1">
        <f t="shared" si="29"/>
        <v>5</v>
      </c>
      <c r="AA130" s="1">
        <f t="shared" si="42"/>
        <v>47</v>
      </c>
      <c r="AB130" s="1">
        <f t="shared" si="43"/>
        <v>47</v>
      </c>
      <c r="AC130" s="1">
        <f t="shared" si="44"/>
        <v>0</v>
      </c>
      <c r="AD130" s="1">
        <f t="shared" si="30"/>
        <v>24</v>
      </c>
      <c r="AE130" s="1">
        <f t="shared" si="45"/>
        <v>1</v>
      </c>
      <c r="AF130" s="1">
        <f t="shared" si="31"/>
        <v>23</v>
      </c>
      <c r="AG130" s="1">
        <f t="shared" si="32"/>
        <v>0</v>
      </c>
      <c r="AH130" s="1">
        <f t="shared" si="46"/>
        <v>27</v>
      </c>
      <c r="AI130" s="1">
        <f t="shared" si="33"/>
        <v>26</v>
      </c>
      <c r="AJ130" s="1" t="str">
        <f t="shared" si="34"/>
        <v>PAS DE DATE PAPIER</v>
      </c>
      <c r="AK130" s="1">
        <f t="shared" si="35"/>
        <v>26</v>
      </c>
      <c r="AL130" s="1">
        <f t="shared" si="36"/>
        <v>8</v>
      </c>
      <c r="AM130" s="1" t="str">
        <f t="shared" si="37"/>
        <v>ANC FAB</v>
      </c>
      <c r="AN130" s="1">
        <f t="shared" si="38"/>
        <v>18</v>
      </c>
      <c r="AO130" s="1">
        <f t="shared" si="41"/>
        <v>1</v>
      </c>
      <c r="AP130" s="1">
        <f t="shared" si="39"/>
        <v>3</v>
      </c>
      <c r="AQ130" s="1">
        <f t="shared" ref="AQ130:AQ193" si="47">IFERROR(IF($T130="","NON LIVRE",IF(MAX($P130,$Q130)=0,"PAS D'EXPEDITION DE MATIERE, D'IMPRESSION, OU D'ACHAT",NETWORKDAYS(MAX($P130,$Q130),$S130)-1)),"PAS D'EXPEDITION DE MATIERE, D'IMPRESSION, OU D'ACHAT")</f>
        <v>20</v>
      </c>
      <c r="AR130" s="1">
        <f t="shared" si="40"/>
        <v>0</v>
      </c>
    </row>
    <row r="131" spans="1:44" x14ac:dyDescent="0.3">
      <c r="A131" s="1">
        <v>25192</v>
      </c>
      <c r="B131" s="1" t="s">
        <v>62</v>
      </c>
      <c r="C131" s="3" t="s">
        <v>202</v>
      </c>
      <c r="D131" s="4">
        <f>2700+500+600+500</f>
        <v>4300</v>
      </c>
      <c r="E131" s="24">
        <f>_xlfn.XLOOKUP(A131,[1]PONCEBLANC!$Q:$Q,[1]PONCEBLANC!$J:$J,100,0)</f>
        <v>77357</v>
      </c>
      <c r="F131" s="2" t="s">
        <v>191</v>
      </c>
      <c r="G131" s="2">
        <v>45924</v>
      </c>
      <c r="H131" s="2">
        <v>45931</v>
      </c>
      <c r="I131" s="2">
        <v>45931</v>
      </c>
      <c r="J131" s="2">
        <v>46002</v>
      </c>
      <c r="K131" s="2">
        <v>45957</v>
      </c>
      <c r="L131" s="2" t="s">
        <v>315</v>
      </c>
      <c r="M131" s="2">
        <v>45951</v>
      </c>
      <c r="N131" s="2">
        <v>45966</v>
      </c>
      <c r="O131" s="2">
        <v>45967</v>
      </c>
      <c r="P131" s="2">
        <v>46003</v>
      </c>
      <c r="Q131" s="2">
        <v>46003</v>
      </c>
      <c r="R131" s="2">
        <v>46038</v>
      </c>
      <c r="S131" s="2">
        <v>46045</v>
      </c>
      <c r="T131" s="2">
        <v>46066</v>
      </c>
      <c r="U131" s="1">
        <v>4</v>
      </c>
      <c r="V131" s="3" t="s">
        <v>365</v>
      </c>
      <c r="W131" s="1" t="s">
        <v>366</v>
      </c>
      <c r="Y131" s="1">
        <f t="shared" ref="Y131:Y194" si="48">IF(OR($T131="",$G131=""),"DATE MANQUANTE",NETWORKDAYS($G131,$T131)-1)</f>
        <v>102</v>
      </c>
      <c r="Z131" s="1">
        <f t="shared" ref="Z131:Z194" si="49">IF(OR($H131="",$G131=""),"DATE MANQUANTE",NETWORKDAYS($G131,$H131)-1)</f>
        <v>5</v>
      </c>
      <c r="AA131" s="1">
        <f t="shared" si="42"/>
        <v>97</v>
      </c>
      <c r="AB131" s="1">
        <f t="shared" si="43"/>
        <v>82</v>
      </c>
      <c r="AC131" s="1">
        <f t="shared" si="44"/>
        <v>5</v>
      </c>
      <c r="AD131" s="1">
        <f t="shared" ref="AD131:AD194" si="50">IFERROR(IF($T131="","NON LIVRE",IF($P131="","PAS DE DEPART MATIERE",NETWORKDAYS($H131,$P131)-1)),$P131)</f>
        <v>52</v>
      </c>
      <c r="AE131" s="1">
        <f t="shared" si="45"/>
        <v>0</v>
      </c>
      <c r="AF131" s="1">
        <f t="shared" ref="AF131:AF194" si="51">IFERROR(IF($T131="","NON LIVRE",IF($J131="","PAS DE COMMANDE MATIERE",NETWORKDAYS($I131,$J131)-1)),$J131)</f>
        <v>51</v>
      </c>
      <c r="AG131" s="1">
        <f t="shared" ref="AG131:AG194" si="52">IFERROR(IF($T131="","NON LIVRE",IF($P131="","PAS DE COMMANDE MATIERE",NETWORKDAYS($J131,$P131)-1)),$P131)</f>
        <v>1</v>
      </c>
      <c r="AH131" s="1">
        <f t="shared" si="46"/>
        <v>52</v>
      </c>
      <c r="AI131" s="1">
        <f t="shared" ref="AI131:AI194" si="53">IFERROR(IF($T131="","NON LIVRE",IF($N131="","PAS DE DATE IMPRESSION",NETWORKDAYS($H131,$N131)-1)),$N131)</f>
        <v>25</v>
      </c>
      <c r="AJ131" s="1">
        <f t="shared" ref="AJ131:AJ194" si="54">IFERROR(IF($T131="","NON LIVRE",IF($M131="","PAS DE DATE PAPIER",NETWORKDAYS($H131,$M131)-1)),$M131)</f>
        <v>14</v>
      </c>
      <c r="AK131" s="1">
        <f t="shared" ref="AK131:AK194" si="55">IFERROR(IF($T131="","NON LIVRE",IF($O131="","PAS DE DATE CARTON",NETWORKDAYS($H131,$O131)-1)),$O131)</f>
        <v>26</v>
      </c>
      <c r="AL131" s="1">
        <f t="shared" ref="AL131:AL194" si="56">IFERROR(IF($T131="","NON LIVRE",IF($K131="","PAS DE DATE FICHIER",NETWORKDAYS($H131,$K131)-1)),$K131)</f>
        <v>18</v>
      </c>
      <c r="AM131" s="1" t="str">
        <f t="shared" ref="AM131:AM194" si="57">IFERROR(IF($T131="","NON LIVRE",IF($L131="","PAS DE DATE VALIDATION MODELE CLIENT",NETWORKDAYS($H131,$L131)-1)),$L131)</f>
        <v>ANC FAB</v>
      </c>
      <c r="AN131" s="1">
        <f t="shared" ref="AN131:AN194" si="58">IFERROR(IF($T131="","NON LIVRE",IF($N131="","PAS DE DATE IMPRESSION",NETWORKDAYS(MAX($K131,$L131),$N131)-1)),$N131)</f>
        <v>7</v>
      </c>
      <c r="AO131" s="1">
        <f t="shared" si="41"/>
        <v>27</v>
      </c>
      <c r="AP131" s="1">
        <f t="shared" ref="AP131:AP194" si="59">IFERROR(IF($T131="","NON LIVRE",IF(MAX($P131,$Q131)=0,"PAS D'EXPEDITION DE MATIERE, D'IMPRESSION, OU D'ACHAT",NETWORKDAYS(MIN($P131,$Q131),MAX($P131,$Q131))-1)),"PAS D'EXPEDITION DE MATIERE, D'IMPRESSION, OU D'ACHAT")</f>
        <v>0</v>
      </c>
      <c r="AQ131" s="1">
        <f t="shared" si="47"/>
        <v>30</v>
      </c>
      <c r="AR131" s="1">
        <f t="shared" ref="AR131:AR194" si="60">IFERROR(IF($T131="","NON LIVRE",IF($P131="","PAS D'IMPRESSION",IF($Q131="","PAS DE DATE VALIDATION MODELE CLIENT",NETWORKDAYS($S131,T131)-1))),$Q131)</f>
        <v>15</v>
      </c>
    </row>
    <row r="132" spans="1:44" x14ac:dyDescent="0.3">
      <c r="A132" s="1">
        <v>25193</v>
      </c>
      <c r="B132" s="1" t="s">
        <v>62</v>
      </c>
      <c r="C132" s="3" t="s">
        <v>228</v>
      </c>
      <c r="D132" s="4">
        <f>8420+1000+2580+500+4000</f>
        <v>16500</v>
      </c>
      <c r="E132" s="24">
        <f>_xlfn.XLOOKUP(A132,[1]PONCEBLANC!$Q:$Q,[1]PONCEBLANC!$J:$J,100,0)</f>
        <v>67155</v>
      </c>
      <c r="G132" s="2">
        <v>45924</v>
      </c>
      <c r="H132" s="2">
        <v>45931</v>
      </c>
      <c r="I132" s="2">
        <v>45932</v>
      </c>
      <c r="J132" s="2">
        <v>45959</v>
      </c>
      <c r="K132" s="2">
        <v>45981</v>
      </c>
      <c r="L132" s="2">
        <v>45974</v>
      </c>
      <c r="N132" s="2">
        <v>45999</v>
      </c>
      <c r="O132" s="2">
        <v>45968</v>
      </c>
      <c r="P132" s="2" t="s">
        <v>317</v>
      </c>
      <c r="Q132" s="2" t="s">
        <v>317</v>
      </c>
      <c r="R132" s="2">
        <v>46037</v>
      </c>
      <c r="S132" s="2">
        <v>46038</v>
      </c>
      <c r="T132" s="2">
        <v>46038</v>
      </c>
      <c r="U132" s="1">
        <v>4</v>
      </c>
      <c r="Y132" s="1">
        <f t="shared" si="48"/>
        <v>82</v>
      </c>
      <c r="Z132" s="1">
        <f t="shared" si="49"/>
        <v>5</v>
      </c>
      <c r="AA132" s="1">
        <f t="shared" si="42"/>
        <v>77</v>
      </c>
      <c r="AB132" s="1">
        <f t="shared" si="43"/>
        <v>77</v>
      </c>
      <c r="AC132" s="1">
        <f t="shared" si="44"/>
        <v>1</v>
      </c>
      <c r="AD132" s="1" t="str">
        <f t="shared" si="50"/>
        <v>LBFI</v>
      </c>
      <c r="AE132" s="1">
        <f t="shared" si="45"/>
        <v>1</v>
      </c>
      <c r="AF132" s="1">
        <f t="shared" si="51"/>
        <v>19</v>
      </c>
      <c r="AG132" s="1" t="str">
        <f t="shared" si="52"/>
        <v>LBFI</v>
      </c>
      <c r="AH132" s="1" t="str">
        <f t="shared" si="46"/>
        <v>LBFI</v>
      </c>
      <c r="AI132" s="1">
        <f t="shared" si="53"/>
        <v>48</v>
      </c>
      <c r="AJ132" s="1" t="str">
        <f t="shared" si="54"/>
        <v>PAS DE DATE PAPIER</v>
      </c>
      <c r="AK132" s="1">
        <f t="shared" si="55"/>
        <v>27</v>
      </c>
      <c r="AL132" s="1">
        <f t="shared" si="56"/>
        <v>36</v>
      </c>
      <c r="AM132" s="1">
        <f t="shared" si="57"/>
        <v>31</v>
      </c>
      <c r="AN132" s="1">
        <f t="shared" si="58"/>
        <v>12</v>
      </c>
      <c r="AO132" s="1" t="str">
        <f t="shared" si="41"/>
        <v>LBFI</v>
      </c>
      <c r="AP132" s="1" t="str">
        <f t="shared" si="59"/>
        <v>PAS D'EXPEDITION DE MATIERE, D'IMPRESSION, OU D'ACHAT</v>
      </c>
      <c r="AQ132" s="1" t="str">
        <f t="shared" si="47"/>
        <v>PAS D'EXPEDITION DE MATIERE, D'IMPRESSION, OU D'ACHAT</v>
      </c>
      <c r="AR132" s="1">
        <f t="shared" si="60"/>
        <v>0</v>
      </c>
    </row>
    <row r="133" spans="1:44" x14ac:dyDescent="0.3">
      <c r="A133" s="1">
        <v>25194</v>
      </c>
      <c r="B133" s="1" t="s">
        <v>229</v>
      </c>
      <c r="C133" s="3" t="s">
        <v>179</v>
      </c>
      <c r="D133" s="4">
        <v>150</v>
      </c>
      <c r="E133" s="24">
        <f>_xlfn.XLOOKUP(A133,[1]PONCEBLANC!$Q:$Q,[1]PONCEBLANC!$J:$J,100,0)</f>
        <v>100</v>
      </c>
      <c r="F133" s="2" t="s">
        <v>179</v>
      </c>
      <c r="G133" s="2" t="s">
        <v>450</v>
      </c>
      <c r="H133" s="2">
        <v>45936</v>
      </c>
      <c r="K133" s="2">
        <v>45940</v>
      </c>
      <c r="L133" s="2">
        <v>45946</v>
      </c>
      <c r="N133" s="2">
        <v>45966</v>
      </c>
      <c r="O133" s="2" t="s">
        <v>199</v>
      </c>
      <c r="Q133" s="2">
        <v>45968</v>
      </c>
      <c r="R133" s="2">
        <v>45996</v>
      </c>
      <c r="S133" s="2">
        <v>45996</v>
      </c>
      <c r="T133" s="2">
        <v>45996</v>
      </c>
      <c r="U133" s="1">
        <v>1</v>
      </c>
      <c r="Y133" s="1" t="str">
        <f t="shared" si="48"/>
        <v>DATE MANQUANTE</v>
      </c>
      <c r="Z133" s="1" t="str">
        <f t="shared" si="49"/>
        <v>DATE MANQUANTE</v>
      </c>
      <c r="AA133" s="1">
        <f t="shared" si="42"/>
        <v>44</v>
      </c>
      <c r="AB133" s="1">
        <f t="shared" si="43"/>
        <v>44</v>
      </c>
      <c r="AC133" s="1">
        <f t="shared" si="44"/>
        <v>0</v>
      </c>
      <c r="AD133" s="1" t="str">
        <f t="shared" si="50"/>
        <v>PAS DE DEPART MATIERE</v>
      </c>
      <c r="AE133" s="1" t="str">
        <f t="shared" si="45"/>
        <v>PAS DE COMMANDE MATIERE</v>
      </c>
      <c r="AF133" s="1" t="str">
        <f t="shared" si="51"/>
        <v>PAS DE COMMANDE MATIERE</v>
      </c>
      <c r="AG133" s="1" t="str">
        <f t="shared" si="52"/>
        <v>PAS DE COMMANDE MATIERE</v>
      </c>
      <c r="AH133" s="1">
        <f t="shared" si="46"/>
        <v>24</v>
      </c>
      <c r="AI133" s="1">
        <f t="shared" si="53"/>
        <v>22</v>
      </c>
      <c r="AJ133" s="1" t="str">
        <f t="shared" si="54"/>
        <v>PAS DE DATE PAPIER</v>
      </c>
      <c r="AK133" s="1" t="str">
        <f t="shared" si="55"/>
        <v>STOCK</v>
      </c>
      <c r="AL133" s="1">
        <f t="shared" si="56"/>
        <v>4</v>
      </c>
      <c r="AM133" s="1">
        <f t="shared" si="57"/>
        <v>8</v>
      </c>
      <c r="AN133" s="1">
        <f t="shared" si="58"/>
        <v>14</v>
      </c>
      <c r="AO133" s="1">
        <f t="shared" si="41"/>
        <v>2</v>
      </c>
      <c r="AP133" s="1">
        <f t="shared" si="59"/>
        <v>0</v>
      </c>
      <c r="AQ133" s="1">
        <f t="shared" si="47"/>
        <v>20</v>
      </c>
      <c r="AR133" s="1" t="str">
        <f t="shared" si="60"/>
        <v>PAS D'IMPRESSION</v>
      </c>
    </row>
    <row r="134" spans="1:44" x14ac:dyDescent="0.3">
      <c r="A134" s="1">
        <v>25195</v>
      </c>
      <c r="B134" s="1" t="s">
        <v>230</v>
      </c>
      <c r="C134" s="3" t="s">
        <v>231</v>
      </c>
      <c r="D134" s="4">
        <v>1500</v>
      </c>
      <c r="E134" s="24">
        <f>_xlfn.XLOOKUP(A134,[1]PONCEBLANC!$Q:$Q,[1]PONCEBLANC!$J:$J,100,0)</f>
        <v>12345</v>
      </c>
      <c r="F134" s="2" t="s">
        <v>149</v>
      </c>
      <c r="G134" s="2">
        <v>45798</v>
      </c>
      <c r="H134" s="2">
        <v>45937</v>
      </c>
      <c r="I134" s="2">
        <v>45946</v>
      </c>
      <c r="J134" s="2">
        <v>45993</v>
      </c>
      <c r="K134" s="2">
        <v>46021</v>
      </c>
      <c r="L134" s="2">
        <v>45960</v>
      </c>
      <c r="N134" s="2">
        <v>46093</v>
      </c>
      <c r="O134" s="2" t="s">
        <v>199</v>
      </c>
      <c r="P134" s="2">
        <v>46059</v>
      </c>
      <c r="Q134" s="2">
        <v>46097</v>
      </c>
      <c r="R134" s="2">
        <v>46031</v>
      </c>
      <c r="S134" s="2">
        <v>46052</v>
      </c>
      <c r="T134" s="2">
        <v>46126</v>
      </c>
      <c r="U134" s="1">
        <v>4</v>
      </c>
      <c r="Y134" s="1">
        <f t="shared" si="48"/>
        <v>234</v>
      </c>
      <c r="Z134" s="1">
        <f t="shared" si="49"/>
        <v>99</v>
      </c>
      <c r="AA134" s="1">
        <f t="shared" si="42"/>
        <v>135</v>
      </c>
      <c r="AB134" s="1">
        <f t="shared" si="43"/>
        <v>83</v>
      </c>
      <c r="AC134" s="1">
        <f t="shared" si="44"/>
        <v>15</v>
      </c>
      <c r="AD134" s="1">
        <f t="shared" si="50"/>
        <v>88</v>
      </c>
      <c r="AE134" s="1">
        <f t="shared" si="45"/>
        <v>7</v>
      </c>
      <c r="AF134" s="1">
        <f t="shared" si="51"/>
        <v>33</v>
      </c>
      <c r="AG134" s="1">
        <f t="shared" si="52"/>
        <v>48</v>
      </c>
      <c r="AH134" s="1">
        <f t="shared" si="46"/>
        <v>114</v>
      </c>
      <c r="AI134" s="1">
        <f t="shared" si="53"/>
        <v>112</v>
      </c>
      <c r="AJ134" s="1" t="str">
        <f t="shared" si="54"/>
        <v>PAS DE DATE PAPIER</v>
      </c>
      <c r="AK134" s="1" t="str">
        <f t="shared" si="55"/>
        <v>STOCK</v>
      </c>
      <c r="AL134" s="1">
        <f t="shared" si="56"/>
        <v>60</v>
      </c>
      <c r="AM134" s="1">
        <f t="shared" si="57"/>
        <v>17</v>
      </c>
      <c r="AN134" s="1">
        <f t="shared" si="58"/>
        <v>52</v>
      </c>
      <c r="AO134" s="1">
        <f t="shared" si="41"/>
        <v>2</v>
      </c>
      <c r="AP134" s="1">
        <f t="shared" si="59"/>
        <v>26</v>
      </c>
      <c r="AQ134" s="1">
        <f t="shared" si="47"/>
        <v>-33</v>
      </c>
      <c r="AR134" s="1">
        <f t="shared" si="60"/>
        <v>52</v>
      </c>
    </row>
    <row r="135" spans="1:44" x14ac:dyDescent="0.3">
      <c r="A135" s="1">
        <v>25196</v>
      </c>
      <c r="B135" s="1" t="s">
        <v>232</v>
      </c>
      <c r="C135" s="3" t="s">
        <v>233</v>
      </c>
      <c r="D135" s="4">
        <f>16825+1100+2525+1540</f>
        <v>21990</v>
      </c>
      <c r="E135" s="24">
        <f>_xlfn.XLOOKUP(A135,[1]PONCEBLANC!$Q:$Q,[1]PONCEBLANC!$J:$J,100,0)</f>
        <v>349580</v>
      </c>
      <c r="F135" s="2" t="s">
        <v>312</v>
      </c>
      <c r="G135" s="2">
        <v>45917</v>
      </c>
      <c r="H135" s="2">
        <v>45939</v>
      </c>
      <c r="I135" s="2">
        <v>45944</v>
      </c>
      <c r="J135" s="2">
        <v>45980</v>
      </c>
      <c r="K135" s="2">
        <v>45978</v>
      </c>
      <c r="L135" s="2">
        <v>45965</v>
      </c>
      <c r="M135" s="2">
        <v>45966</v>
      </c>
      <c r="N135" s="2">
        <v>45989</v>
      </c>
      <c r="O135" s="2">
        <v>45967</v>
      </c>
      <c r="P135" s="2">
        <v>45982</v>
      </c>
      <c r="Q135" s="2">
        <v>45996</v>
      </c>
      <c r="R135" s="2">
        <v>46017</v>
      </c>
      <c r="S135" s="2">
        <v>46021</v>
      </c>
      <c r="T135" s="2">
        <v>46073</v>
      </c>
      <c r="U135" s="1">
        <v>7</v>
      </c>
      <c r="V135" s="3" t="s">
        <v>316</v>
      </c>
      <c r="Y135" s="1">
        <f t="shared" si="48"/>
        <v>112</v>
      </c>
      <c r="Z135" s="1">
        <f t="shared" si="49"/>
        <v>16</v>
      </c>
      <c r="AA135" s="1">
        <f t="shared" si="42"/>
        <v>96</v>
      </c>
      <c r="AB135" s="1">
        <f t="shared" si="43"/>
        <v>58</v>
      </c>
      <c r="AC135" s="1">
        <f t="shared" si="44"/>
        <v>2</v>
      </c>
      <c r="AD135" s="1">
        <f t="shared" si="50"/>
        <v>31</v>
      </c>
      <c r="AE135" s="1">
        <f t="shared" si="45"/>
        <v>3</v>
      </c>
      <c r="AF135" s="1">
        <f t="shared" si="51"/>
        <v>26</v>
      </c>
      <c r="AG135" s="1">
        <f t="shared" si="52"/>
        <v>2</v>
      </c>
      <c r="AH135" s="1">
        <f t="shared" si="46"/>
        <v>41</v>
      </c>
      <c r="AI135" s="1">
        <f t="shared" si="53"/>
        <v>36</v>
      </c>
      <c r="AJ135" s="1">
        <f t="shared" si="54"/>
        <v>19</v>
      </c>
      <c r="AK135" s="1">
        <f t="shared" si="55"/>
        <v>20</v>
      </c>
      <c r="AL135" s="1">
        <f t="shared" si="56"/>
        <v>27</v>
      </c>
      <c r="AM135" s="1">
        <f t="shared" si="57"/>
        <v>18</v>
      </c>
      <c r="AN135" s="1">
        <f t="shared" si="58"/>
        <v>9</v>
      </c>
      <c r="AO135" s="1">
        <f t="shared" si="41"/>
        <v>5</v>
      </c>
      <c r="AP135" s="1">
        <f t="shared" si="59"/>
        <v>10</v>
      </c>
      <c r="AQ135" s="1">
        <f t="shared" si="47"/>
        <v>17</v>
      </c>
      <c r="AR135" s="1">
        <f t="shared" si="60"/>
        <v>38</v>
      </c>
    </row>
    <row r="136" spans="1:44" x14ac:dyDescent="0.3">
      <c r="A136" s="1">
        <v>25197</v>
      </c>
      <c r="B136" s="1" t="s">
        <v>232</v>
      </c>
      <c r="C136" s="3" t="s">
        <v>234</v>
      </c>
      <c r="D136" s="4">
        <f>4500+6900</f>
        <v>11400</v>
      </c>
      <c r="E136" s="24">
        <f>_xlfn.XLOOKUP(A136,[1]PONCEBLANC!$Q:$Q,[1]PONCEBLANC!$J:$J,100,0)</f>
        <v>199017.00000000003</v>
      </c>
      <c r="F136" s="2" t="s">
        <v>302</v>
      </c>
      <c r="G136" s="2">
        <v>45922</v>
      </c>
      <c r="H136" s="2">
        <v>45939</v>
      </c>
      <c r="I136" s="2">
        <v>46006</v>
      </c>
      <c r="J136" s="2">
        <v>46072</v>
      </c>
      <c r="K136" s="2">
        <v>46008</v>
      </c>
      <c r="L136" s="2">
        <v>45939</v>
      </c>
      <c r="M136" s="2">
        <v>45994</v>
      </c>
      <c r="N136" s="2">
        <v>46052</v>
      </c>
      <c r="O136" s="2">
        <v>46029</v>
      </c>
      <c r="P136" s="2">
        <v>46077</v>
      </c>
      <c r="Q136" s="2">
        <v>46086</v>
      </c>
      <c r="R136" s="2">
        <v>46108</v>
      </c>
      <c r="S136" s="2">
        <v>46115</v>
      </c>
      <c r="T136" s="2">
        <v>46136</v>
      </c>
      <c r="U136" s="1">
        <v>4</v>
      </c>
      <c r="Y136" s="1">
        <f t="shared" si="48"/>
        <v>154</v>
      </c>
      <c r="Z136" s="1">
        <f t="shared" si="49"/>
        <v>13</v>
      </c>
      <c r="AA136" s="1">
        <f t="shared" si="42"/>
        <v>141</v>
      </c>
      <c r="AB136" s="1">
        <f t="shared" si="43"/>
        <v>126</v>
      </c>
      <c r="AC136" s="1">
        <f t="shared" si="44"/>
        <v>5</v>
      </c>
      <c r="AD136" s="1">
        <f t="shared" si="50"/>
        <v>98</v>
      </c>
      <c r="AE136" s="1">
        <f t="shared" si="45"/>
        <v>47</v>
      </c>
      <c r="AF136" s="1">
        <f t="shared" si="51"/>
        <v>48</v>
      </c>
      <c r="AG136" s="1">
        <f t="shared" si="52"/>
        <v>3</v>
      </c>
      <c r="AH136" s="1">
        <f t="shared" si="46"/>
        <v>105</v>
      </c>
      <c r="AI136" s="1">
        <f t="shared" si="53"/>
        <v>81</v>
      </c>
      <c r="AJ136" s="1">
        <f t="shared" si="54"/>
        <v>39</v>
      </c>
      <c r="AK136" s="1">
        <f t="shared" si="55"/>
        <v>64</v>
      </c>
      <c r="AL136" s="1">
        <f t="shared" si="56"/>
        <v>49</v>
      </c>
      <c r="AM136" s="1">
        <f t="shared" si="57"/>
        <v>0</v>
      </c>
      <c r="AN136" s="1">
        <f t="shared" si="58"/>
        <v>32</v>
      </c>
      <c r="AO136" s="1">
        <f t="shared" si="41"/>
        <v>24</v>
      </c>
      <c r="AP136" s="1">
        <f t="shared" si="59"/>
        <v>7</v>
      </c>
      <c r="AQ136" s="1">
        <f t="shared" si="47"/>
        <v>21</v>
      </c>
      <c r="AR136" s="1">
        <f t="shared" si="60"/>
        <v>15</v>
      </c>
    </row>
    <row r="137" spans="1:44" x14ac:dyDescent="0.3">
      <c r="A137" s="1">
        <v>25198</v>
      </c>
      <c r="B137" s="1" t="s">
        <v>232</v>
      </c>
      <c r="C137" s="3" t="s">
        <v>235</v>
      </c>
      <c r="D137" s="4">
        <f>7950+3150+1150</f>
        <v>12250</v>
      </c>
      <c r="E137" s="24">
        <f>_xlfn.XLOOKUP(A137,[1]PONCEBLANC!$Q:$Q,[1]PONCEBLANC!$J:$J,100,0)</f>
        <v>246869.99999999997</v>
      </c>
      <c r="F137" s="2" t="s">
        <v>312</v>
      </c>
      <c r="G137" s="2">
        <v>45922</v>
      </c>
      <c r="H137" s="2">
        <v>45939</v>
      </c>
      <c r="I137" s="2">
        <v>45954</v>
      </c>
      <c r="K137" s="2">
        <v>46006</v>
      </c>
      <c r="L137" s="2">
        <v>45996</v>
      </c>
      <c r="M137" s="2">
        <v>45994</v>
      </c>
      <c r="N137" s="2">
        <v>46014</v>
      </c>
      <c r="O137" s="2">
        <v>46029</v>
      </c>
      <c r="Y137" s="1" t="str">
        <f t="shared" si="48"/>
        <v>DATE MANQUANTE</v>
      </c>
      <c r="Z137" s="1">
        <f t="shared" si="49"/>
        <v>13</v>
      </c>
      <c r="AA137" s="1" t="str">
        <f t="shared" si="42"/>
        <v>NON LIVRE</v>
      </c>
      <c r="AB137" s="1" t="str">
        <f t="shared" si="43"/>
        <v>NON LIVRE</v>
      </c>
      <c r="AC137" s="1" t="str">
        <f t="shared" si="44"/>
        <v>NON LIVRE</v>
      </c>
      <c r="AD137" s="1" t="str">
        <f t="shared" si="50"/>
        <v>NON LIVRE</v>
      </c>
      <c r="AE137" s="1" t="str">
        <f t="shared" si="45"/>
        <v>NON LIVRE</v>
      </c>
      <c r="AF137" s="1" t="str">
        <f t="shared" si="51"/>
        <v>NON LIVRE</v>
      </c>
      <c r="AG137" s="1" t="str">
        <f t="shared" si="52"/>
        <v>NON LIVRE</v>
      </c>
      <c r="AH137" s="1" t="str">
        <f t="shared" si="46"/>
        <v>NON LIVRE</v>
      </c>
      <c r="AI137" s="1" t="str">
        <f t="shared" si="53"/>
        <v>NON LIVRE</v>
      </c>
      <c r="AJ137" s="1" t="str">
        <f t="shared" si="54"/>
        <v>NON LIVRE</v>
      </c>
      <c r="AK137" s="1" t="str">
        <f t="shared" si="55"/>
        <v>NON LIVRE</v>
      </c>
      <c r="AL137" s="1" t="str">
        <f t="shared" si="56"/>
        <v>NON LIVRE</v>
      </c>
      <c r="AM137" s="1" t="str">
        <f t="shared" si="57"/>
        <v>NON LIVRE</v>
      </c>
      <c r="AN137" s="1" t="str">
        <f t="shared" si="58"/>
        <v>NON LIVRE</v>
      </c>
      <c r="AO137" s="1" t="str">
        <f t="shared" si="41"/>
        <v>NON LIVRE</v>
      </c>
      <c r="AP137" s="1" t="str">
        <f t="shared" si="59"/>
        <v>NON LIVRE</v>
      </c>
      <c r="AQ137" s="1" t="str">
        <f t="shared" si="47"/>
        <v>NON LIVRE</v>
      </c>
      <c r="AR137" s="1" t="str">
        <f t="shared" si="60"/>
        <v>NON LIVRE</v>
      </c>
    </row>
    <row r="138" spans="1:44" x14ac:dyDescent="0.3">
      <c r="A138" s="1">
        <v>25199</v>
      </c>
      <c r="B138" s="1" t="s">
        <v>232</v>
      </c>
      <c r="C138" s="3" t="s">
        <v>236</v>
      </c>
      <c r="D138" s="4">
        <f>7950+3150+1150</f>
        <v>12250</v>
      </c>
      <c r="E138" s="24">
        <f>_xlfn.XLOOKUP(A138,[1]PONCEBLANC!$Q:$Q,[1]PONCEBLANC!$J:$J,100,0)</f>
        <v>201460</v>
      </c>
      <c r="F138" s="2" t="s">
        <v>313</v>
      </c>
      <c r="G138" s="2">
        <v>45922</v>
      </c>
      <c r="H138" s="2">
        <v>45939</v>
      </c>
      <c r="I138" s="2">
        <v>45952</v>
      </c>
      <c r="J138" s="2">
        <v>45974</v>
      </c>
      <c r="K138" s="2">
        <v>46034</v>
      </c>
      <c r="L138" s="2">
        <v>45996</v>
      </c>
      <c r="M138" s="2">
        <v>45994</v>
      </c>
      <c r="N138" s="2">
        <v>46049</v>
      </c>
      <c r="O138" s="2">
        <v>46029</v>
      </c>
      <c r="P138" s="2">
        <v>46038</v>
      </c>
      <c r="Q138" s="2">
        <v>46066</v>
      </c>
      <c r="R138" s="2">
        <v>46087</v>
      </c>
      <c r="S138" s="2">
        <v>46094</v>
      </c>
      <c r="T138" s="2">
        <v>46129</v>
      </c>
      <c r="U138" s="1">
        <v>5</v>
      </c>
      <c r="Y138" s="1">
        <f t="shared" si="48"/>
        <v>149</v>
      </c>
      <c r="Z138" s="1">
        <f t="shared" si="49"/>
        <v>13</v>
      </c>
      <c r="AA138" s="1">
        <f t="shared" si="42"/>
        <v>136</v>
      </c>
      <c r="AB138" s="1">
        <f t="shared" si="43"/>
        <v>111</v>
      </c>
      <c r="AC138" s="1">
        <f t="shared" si="44"/>
        <v>5</v>
      </c>
      <c r="AD138" s="1">
        <f t="shared" si="50"/>
        <v>71</v>
      </c>
      <c r="AE138" s="1">
        <f t="shared" si="45"/>
        <v>9</v>
      </c>
      <c r="AF138" s="1">
        <f t="shared" si="51"/>
        <v>16</v>
      </c>
      <c r="AG138" s="1">
        <f t="shared" si="52"/>
        <v>46</v>
      </c>
      <c r="AH138" s="1">
        <f t="shared" si="46"/>
        <v>91</v>
      </c>
      <c r="AI138" s="1">
        <f t="shared" si="53"/>
        <v>78</v>
      </c>
      <c r="AJ138" s="1">
        <f t="shared" si="54"/>
        <v>39</v>
      </c>
      <c r="AK138" s="1">
        <f t="shared" si="55"/>
        <v>64</v>
      </c>
      <c r="AL138" s="1">
        <f t="shared" si="56"/>
        <v>67</v>
      </c>
      <c r="AM138" s="1">
        <f t="shared" si="57"/>
        <v>41</v>
      </c>
      <c r="AN138" s="1">
        <f t="shared" si="58"/>
        <v>11</v>
      </c>
      <c r="AO138" s="1">
        <f t="shared" si="41"/>
        <v>13</v>
      </c>
      <c r="AP138" s="1">
        <f t="shared" si="59"/>
        <v>20</v>
      </c>
      <c r="AQ138" s="1">
        <f t="shared" si="47"/>
        <v>20</v>
      </c>
      <c r="AR138" s="1">
        <f t="shared" si="60"/>
        <v>25</v>
      </c>
    </row>
    <row r="139" spans="1:44" x14ac:dyDescent="0.3">
      <c r="A139" s="1">
        <v>25200</v>
      </c>
      <c r="B139" s="1" t="s">
        <v>97</v>
      </c>
      <c r="C139" s="3" t="s">
        <v>237</v>
      </c>
      <c r="D139" s="4">
        <v>5845</v>
      </c>
      <c r="E139" s="24">
        <f>_xlfn.XLOOKUP(A139,[1]PONCEBLANC!$Q:$Q,[1]PONCEBLANC!$J:$J,100,0)</f>
        <v>100</v>
      </c>
      <c r="G139" s="2" t="s">
        <v>450</v>
      </c>
      <c r="H139" s="2">
        <v>45939</v>
      </c>
      <c r="I139" s="2">
        <v>45944</v>
      </c>
      <c r="J139" s="2">
        <v>45964</v>
      </c>
      <c r="K139" s="2">
        <v>45960</v>
      </c>
      <c r="L139" s="2">
        <v>45975</v>
      </c>
      <c r="N139" s="2">
        <v>46039</v>
      </c>
      <c r="O139" s="2">
        <v>45967</v>
      </c>
      <c r="P139" s="2">
        <v>45982</v>
      </c>
      <c r="Q139" s="2">
        <v>45988</v>
      </c>
      <c r="R139" s="2">
        <v>46022</v>
      </c>
      <c r="S139" s="2">
        <v>46022</v>
      </c>
      <c r="T139" s="2">
        <v>46045</v>
      </c>
      <c r="U139" s="1">
        <v>4</v>
      </c>
      <c r="Y139" s="1" t="str">
        <f t="shared" si="48"/>
        <v>DATE MANQUANTE</v>
      </c>
      <c r="Z139" s="1" t="str">
        <f t="shared" si="49"/>
        <v>DATE MANQUANTE</v>
      </c>
      <c r="AA139" s="1">
        <f t="shared" si="42"/>
        <v>76</v>
      </c>
      <c r="AB139" s="1">
        <f t="shared" si="43"/>
        <v>59</v>
      </c>
      <c r="AC139" s="1">
        <f t="shared" si="44"/>
        <v>0</v>
      </c>
      <c r="AD139" s="1">
        <f t="shared" si="50"/>
        <v>31</v>
      </c>
      <c r="AE139" s="1">
        <f t="shared" si="45"/>
        <v>3</v>
      </c>
      <c r="AF139" s="1">
        <f t="shared" si="51"/>
        <v>14</v>
      </c>
      <c r="AG139" s="1">
        <f t="shared" si="52"/>
        <v>14</v>
      </c>
      <c r="AH139" s="1">
        <f t="shared" si="46"/>
        <v>35</v>
      </c>
      <c r="AI139" s="1">
        <f t="shared" si="53"/>
        <v>71</v>
      </c>
      <c r="AJ139" s="1" t="str">
        <f t="shared" si="54"/>
        <v>PAS DE DATE PAPIER</v>
      </c>
      <c r="AK139" s="1">
        <f t="shared" si="55"/>
        <v>20</v>
      </c>
      <c r="AL139" s="1">
        <f t="shared" si="56"/>
        <v>15</v>
      </c>
      <c r="AM139" s="1">
        <f t="shared" si="57"/>
        <v>26</v>
      </c>
      <c r="AN139" s="1">
        <f t="shared" si="58"/>
        <v>45</v>
      </c>
      <c r="AO139" s="1">
        <f t="shared" si="41"/>
        <v>-38</v>
      </c>
      <c r="AP139" s="1">
        <f t="shared" si="59"/>
        <v>4</v>
      </c>
      <c r="AQ139" s="1">
        <f t="shared" si="47"/>
        <v>24</v>
      </c>
      <c r="AR139" s="1">
        <f t="shared" si="60"/>
        <v>17</v>
      </c>
    </row>
    <row r="140" spans="1:44" x14ac:dyDescent="0.3">
      <c r="A140" s="1">
        <v>25201</v>
      </c>
      <c r="B140" s="1" t="s">
        <v>97</v>
      </c>
      <c r="C140" s="3" t="s">
        <v>238</v>
      </c>
      <c r="D140" s="4">
        <v>1000</v>
      </c>
      <c r="E140" s="24">
        <f>_xlfn.XLOOKUP(A140,[1]PONCEBLANC!$Q:$Q,[1]PONCEBLANC!$J:$J,100,0)</f>
        <v>100</v>
      </c>
      <c r="G140" s="2" t="s">
        <v>450</v>
      </c>
      <c r="H140" s="2">
        <v>45939</v>
      </c>
      <c r="I140" s="2">
        <v>45944</v>
      </c>
      <c r="J140" s="2">
        <v>45964</v>
      </c>
      <c r="K140" s="2">
        <v>45960</v>
      </c>
      <c r="L140" s="2">
        <v>45975</v>
      </c>
      <c r="N140" s="2">
        <v>46039</v>
      </c>
      <c r="O140" s="2">
        <v>45967</v>
      </c>
      <c r="P140" s="2">
        <v>45982</v>
      </c>
      <c r="Q140" s="2">
        <v>45988</v>
      </c>
      <c r="R140" s="2">
        <v>46022</v>
      </c>
      <c r="S140" s="2">
        <v>46045</v>
      </c>
      <c r="T140" s="2">
        <v>46045</v>
      </c>
      <c r="U140" s="1">
        <v>1</v>
      </c>
      <c r="Y140" s="1" t="str">
        <f t="shared" si="48"/>
        <v>DATE MANQUANTE</v>
      </c>
      <c r="Z140" s="1" t="str">
        <f t="shared" si="49"/>
        <v>DATE MANQUANTE</v>
      </c>
      <c r="AA140" s="1">
        <f t="shared" si="42"/>
        <v>76</v>
      </c>
      <c r="AB140" s="1">
        <f t="shared" si="43"/>
        <v>76</v>
      </c>
      <c r="AC140" s="1">
        <f t="shared" si="44"/>
        <v>17</v>
      </c>
      <c r="AD140" s="1">
        <f t="shared" si="50"/>
        <v>31</v>
      </c>
      <c r="AE140" s="1">
        <f t="shared" si="45"/>
        <v>3</v>
      </c>
      <c r="AF140" s="1">
        <f t="shared" si="51"/>
        <v>14</v>
      </c>
      <c r="AG140" s="1">
        <f t="shared" si="52"/>
        <v>14</v>
      </c>
      <c r="AH140" s="1">
        <f t="shared" si="46"/>
        <v>35</v>
      </c>
      <c r="AI140" s="1">
        <f t="shared" si="53"/>
        <v>71</v>
      </c>
      <c r="AJ140" s="1" t="str">
        <f t="shared" si="54"/>
        <v>PAS DE DATE PAPIER</v>
      </c>
      <c r="AK140" s="1">
        <f t="shared" si="55"/>
        <v>20</v>
      </c>
      <c r="AL140" s="1">
        <f t="shared" si="56"/>
        <v>15</v>
      </c>
      <c r="AM140" s="1">
        <f t="shared" si="57"/>
        <v>26</v>
      </c>
      <c r="AN140" s="1">
        <f t="shared" si="58"/>
        <v>45</v>
      </c>
      <c r="AO140" s="1">
        <f t="shared" si="41"/>
        <v>-38</v>
      </c>
      <c r="AP140" s="1">
        <f t="shared" si="59"/>
        <v>4</v>
      </c>
      <c r="AQ140" s="1">
        <f t="shared" si="47"/>
        <v>41</v>
      </c>
      <c r="AR140" s="1">
        <f t="shared" si="60"/>
        <v>0</v>
      </c>
    </row>
    <row r="141" spans="1:44" x14ac:dyDescent="0.3">
      <c r="A141" s="1">
        <v>25202</v>
      </c>
      <c r="B141" s="1" t="s">
        <v>17</v>
      </c>
      <c r="C141" s="3" t="s">
        <v>239</v>
      </c>
      <c r="D141" s="4">
        <v>2000</v>
      </c>
      <c r="E141" s="24">
        <f>_xlfn.XLOOKUP(A141,[1]PONCEBLANC!$Q:$Q,[1]PONCEBLANC!$J:$J,100,0)</f>
        <v>25040</v>
      </c>
      <c r="G141" s="2">
        <v>45845</v>
      </c>
      <c r="H141" s="2">
        <v>45943</v>
      </c>
      <c r="I141" s="2">
        <v>45945</v>
      </c>
      <c r="J141" s="2">
        <v>45954</v>
      </c>
      <c r="K141" s="2">
        <v>45981</v>
      </c>
      <c r="L141" s="2">
        <v>45987</v>
      </c>
      <c r="N141" s="2">
        <v>45989</v>
      </c>
      <c r="O141" s="2">
        <v>45968</v>
      </c>
      <c r="P141" s="2">
        <v>46010</v>
      </c>
      <c r="Q141" s="2">
        <v>46014</v>
      </c>
      <c r="R141" s="2">
        <v>46038</v>
      </c>
      <c r="S141" s="2">
        <v>46038</v>
      </c>
      <c r="T141" s="2">
        <v>46059</v>
      </c>
      <c r="U141" s="1">
        <v>3</v>
      </c>
      <c r="Y141" s="1">
        <f t="shared" si="48"/>
        <v>154</v>
      </c>
      <c r="Z141" s="1">
        <f t="shared" si="49"/>
        <v>70</v>
      </c>
      <c r="AA141" s="1">
        <f t="shared" si="42"/>
        <v>84</v>
      </c>
      <c r="AB141" s="1">
        <f t="shared" si="43"/>
        <v>69</v>
      </c>
      <c r="AC141" s="1">
        <f t="shared" si="44"/>
        <v>0</v>
      </c>
      <c r="AD141" s="1">
        <f t="shared" si="50"/>
        <v>49</v>
      </c>
      <c r="AE141" s="1">
        <f t="shared" si="45"/>
        <v>2</v>
      </c>
      <c r="AF141" s="1">
        <f t="shared" si="51"/>
        <v>7</v>
      </c>
      <c r="AG141" s="1">
        <f t="shared" si="52"/>
        <v>40</v>
      </c>
      <c r="AH141" s="1">
        <f t="shared" si="46"/>
        <v>51</v>
      </c>
      <c r="AI141" s="1">
        <f t="shared" si="53"/>
        <v>34</v>
      </c>
      <c r="AJ141" s="1" t="str">
        <f t="shared" si="54"/>
        <v>PAS DE DATE PAPIER</v>
      </c>
      <c r="AK141" s="1">
        <f t="shared" si="55"/>
        <v>19</v>
      </c>
      <c r="AL141" s="1">
        <f t="shared" si="56"/>
        <v>28</v>
      </c>
      <c r="AM141" s="1">
        <f t="shared" si="57"/>
        <v>32</v>
      </c>
      <c r="AN141" s="1">
        <f t="shared" si="58"/>
        <v>2</v>
      </c>
      <c r="AO141" s="1">
        <f t="shared" si="41"/>
        <v>17</v>
      </c>
      <c r="AP141" s="1">
        <f t="shared" si="59"/>
        <v>2</v>
      </c>
      <c r="AQ141" s="1">
        <f t="shared" si="47"/>
        <v>18</v>
      </c>
      <c r="AR141" s="1">
        <f t="shared" si="60"/>
        <v>15</v>
      </c>
    </row>
    <row r="142" spans="1:44" x14ac:dyDescent="0.3">
      <c r="A142" s="1">
        <v>25203</v>
      </c>
      <c r="B142" s="1" t="s">
        <v>17</v>
      </c>
      <c r="C142" s="3" t="s">
        <v>240</v>
      </c>
      <c r="D142" s="4">
        <v>3000</v>
      </c>
      <c r="E142" s="24">
        <f>_xlfn.XLOOKUP(A142,[1]PONCEBLANC!$Q:$Q,[1]PONCEBLANC!$J:$J,100,0)</f>
        <v>6140</v>
      </c>
      <c r="F142" s="2" t="s">
        <v>241</v>
      </c>
      <c r="G142" s="2">
        <v>45932</v>
      </c>
      <c r="H142" s="2">
        <v>45944</v>
      </c>
      <c r="I142" s="2">
        <v>45945</v>
      </c>
      <c r="J142" s="2">
        <v>45958</v>
      </c>
      <c r="K142" s="2">
        <v>45944</v>
      </c>
      <c r="L142" s="2" t="s">
        <v>315</v>
      </c>
      <c r="N142" s="2">
        <v>45953</v>
      </c>
      <c r="O142" s="2" t="s">
        <v>199</v>
      </c>
      <c r="P142" s="2">
        <v>45965</v>
      </c>
      <c r="Q142" s="2">
        <v>45961</v>
      </c>
      <c r="R142" s="2">
        <v>45996</v>
      </c>
      <c r="S142" s="2">
        <v>45996</v>
      </c>
      <c r="T142" s="2">
        <v>45996</v>
      </c>
      <c r="U142" s="1">
        <v>1</v>
      </c>
      <c r="Y142" s="1">
        <f t="shared" si="48"/>
        <v>46</v>
      </c>
      <c r="Z142" s="1">
        <f t="shared" si="49"/>
        <v>8</v>
      </c>
      <c r="AA142" s="1">
        <f t="shared" si="42"/>
        <v>38</v>
      </c>
      <c r="AB142" s="1">
        <f t="shared" si="43"/>
        <v>38</v>
      </c>
      <c r="AC142" s="1">
        <f t="shared" si="44"/>
        <v>0</v>
      </c>
      <c r="AD142" s="1">
        <f t="shared" si="50"/>
        <v>15</v>
      </c>
      <c r="AE142" s="1">
        <f t="shared" si="45"/>
        <v>1</v>
      </c>
      <c r="AF142" s="1">
        <f t="shared" si="51"/>
        <v>9</v>
      </c>
      <c r="AG142" s="1">
        <f t="shared" si="52"/>
        <v>5</v>
      </c>
      <c r="AH142" s="1">
        <f t="shared" si="46"/>
        <v>13</v>
      </c>
      <c r="AI142" s="1">
        <f t="shared" si="53"/>
        <v>7</v>
      </c>
      <c r="AJ142" s="1" t="str">
        <f t="shared" si="54"/>
        <v>PAS DE DATE PAPIER</v>
      </c>
      <c r="AK142" s="1" t="str">
        <f t="shared" si="55"/>
        <v>STOCK</v>
      </c>
      <c r="AL142" s="1">
        <f t="shared" si="56"/>
        <v>0</v>
      </c>
      <c r="AM142" s="1" t="str">
        <f t="shared" si="57"/>
        <v>ANC FAB</v>
      </c>
      <c r="AN142" s="1">
        <f t="shared" si="58"/>
        <v>7</v>
      </c>
      <c r="AO142" s="1">
        <f t="shared" si="41"/>
        <v>6</v>
      </c>
      <c r="AP142" s="1">
        <f t="shared" si="59"/>
        <v>2</v>
      </c>
      <c r="AQ142" s="1">
        <f t="shared" si="47"/>
        <v>23</v>
      </c>
      <c r="AR142" s="1">
        <f t="shared" si="60"/>
        <v>0</v>
      </c>
    </row>
    <row r="143" spans="1:44" x14ac:dyDescent="0.3">
      <c r="A143" s="1">
        <v>25204</v>
      </c>
      <c r="B143" s="1" t="s">
        <v>62</v>
      </c>
      <c r="C143" s="3" t="s">
        <v>242</v>
      </c>
      <c r="D143" s="4">
        <f>8400+3600+500+1000+2500</f>
        <v>16000</v>
      </c>
      <c r="E143" s="24">
        <f>_xlfn.XLOOKUP(A143,[1]PONCEBLANC!$Q:$Q,[1]PONCEBLANC!$J:$J,100,0)</f>
        <v>157950</v>
      </c>
      <c r="F143" s="2" t="s">
        <v>311</v>
      </c>
      <c r="G143" s="2">
        <v>45931</v>
      </c>
      <c r="H143" s="2">
        <v>45945</v>
      </c>
      <c r="I143" s="2">
        <v>45965</v>
      </c>
      <c r="K143" s="2">
        <v>46000</v>
      </c>
      <c r="L143" s="2">
        <v>46003</v>
      </c>
      <c r="M143" s="2">
        <v>45975</v>
      </c>
      <c r="N143" s="2">
        <v>45992</v>
      </c>
      <c r="O143" s="2">
        <v>45995</v>
      </c>
      <c r="P143" s="2">
        <v>46014</v>
      </c>
      <c r="Q143" s="2">
        <v>46014</v>
      </c>
      <c r="Y143" s="1" t="str">
        <f t="shared" si="48"/>
        <v>DATE MANQUANTE</v>
      </c>
      <c r="Z143" s="1">
        <f t="shared" si="49"/>
        <v>10</v>
      </c>
      <c r="AA143" s="1" t="str">
        <f t="shared" si="42"/>
        <v>NON LIVRE</v>
      </c>
      <c r="AB143" s="1" t="str">
        <f t="shared" si="43"/>
        <v>NON LIVRE</v>
      </c>
      <c r="AC143" s="1" t="str">
        <f t="shared" si="44"/>
        <v>NON LIVRE</v>
      </c>
      <c r="AD143" s="1" t="str">
        <f t="shared" si="50"/>
        <v>NON LIVRE</v>
      </c>
      <c r="AE143" s="1" t="str">
        <f t="shared" si="45"/>
        <v>NON LIVRE</v>
      </c>
      <c r="AF143" s="1" t="str">
        <f t="shared" si="51"/>
        <v>NON LIVRE</v>
      </c>
      <c r="AG143" s="1" t="str">
        <f t="shared" si="52"/>
        <v>NON LIVRE</v>
      </c>
      <c r="AH143" s="1" t="str">
        <f t="shared" si="46"/>
        <v>NON LIVRE</v>
      </c>
      <c r="AI143" s="1" t="str">
        <f t="shared" si="53"/>
        <v>NON LIVRE</v>
      </c>
      <c r="AJ143" s="1" t="str">
        <f t="shared" si="54"/>
        <v>NON LIVRE</v>
      </c>
      <c r="AK143" s="1" t="str">
        <f t="shared" si="55"/>
        <v>NON LIVRE</v>
      </c>
      <c r="AL143" s="1" t="str">
        <f t="shared" si="56"/>
        <v>NON LIVRE</v>
      </c>
      <c r="AM143" s="1" t="str">
        <f t="shared" si="57"/>
        <v>NON LIVRE</v>
      </c>
      <c r="AN143" s="1" t="str">
        <f t="shared" si="58"/>
        <v>NON LIVRE</v>
      </c>
      <c r="AO143" s="1" t="str">
        <f t="shared" si="41"/>
        <v>NON LIVRE</v>
      </c>
      <c r="AP143" s="1" t="str">
        <f t="shared" si="59"/>
        <v>NON LIVRE</v>
      </c>
      <c r="AQ143" s="1" t="str">
        <f t="shared" si="47"/>
        <v>NON LIVRE</v>
      </c>
      <c r="AR143" s="1" t="str">
        <f t="shared" si="60"/>
        <v>NON LIVRE</v>
      </c>
    </row>
    <row r="144" spans="1:44" x14ac:dyDescent="0.3">
      <c r="A144" s="1">
        <v>25205</v>
      </c>
      <c r="B144" s="1" t="s">
        <v>62</v>
      </c>
      <c r="C144" s="3" t="s">
        <v>243</v>
      </c>
      <c r="D144" s="4">
        <f>1000+250+150+350</f>
        <v>1750</v>
      </c>
      <c r="E144" s="24">
        <f>_xlfn.XLOOKUP(A144,[1]PONCEBLANC!$Q:$Q,[1]PONCEBLANC!$J:$J,100,0)</f>
        <v>8064</v>
      </c>
      <c r="F144" s="2" t="s">
        <v>136</v>
      </c>
      <c r="G144" s="2">
        <v>45924</v>
      </c>
      <c r="H144" s="2">
        <v>45950</v>
      </c>
      <c r="I144" s="2">
        <v>45980</v>
      </c>
      <c r="J144" s="2">
        <v>46043</v>
      </c>
      <c r="K144" s="2">
        <v>46030</v>
      </c>
      <c r="L144" s="2">
        <v>46050</v>
      </c>
      <c r="N144" s="2">
        <v>46034</v>
      </c>
      <c r="O144" s="2">
        <v>45994</v>
      </c>
      <c r="P144" s="2">
        <v>46094</v>
      </c>
      <c r="Q144" s="2">
        <v>46051</v>
      </c>
      <c r="R144" s="2">
        <v>46080</v>
      </c>
      <c r="S144" s="2">
        <v>46078</v>
      </c>
      <c r="T144" s="2">
        <v>46115</v>
      </c>
      <c r="U144" s="1">
        <v>3</v>
      </c>
      <c r="Y144" s="1">
        <f t="shared" si="48"/>
        <v>137</v>
      </c>
      <c r="Z144" s="1">
        <f t="shared" si="49"/>
        <v>18</v>
      </c>
      <c r="AA144" s="1">
        <f t="shared" si="42"/>
        <v>119</v>
      </c>
      <c r="AB144" s="1">
        <f t="shared" si="43"/>
        <v>92</v>
      </c>
      <c r="AC144" s="1">
        <f t="shared" si="44"/>
        <v>-4</v>
      </c>
      <c r="AD144" s="1">
        <f t="shared" si="50"/>
        <v>104</v>
      </c>
      <c r="AE144" s="1">
        <f t="shared" si="45"/>
        <v>22</v>
      </c>
      <c r="AF144" s="1">
        <f t="shared" si="51"/>
        <v>45</v>
      </c>
      <c r="AG144" s="1">
        <f t="shared" si="52"/>
        <v>37</v>
      </c>
      <c r="AH144" s="1">
        <f t="shared" si="46"/>
        <v>73</v>
      </c>
      <c r="AI144" s="1">
        <f t="shared" si="53"/>
        <v>60</v>
      </c>
      <c r="AJ144" s="1" t="str">
        <f t="shared" si="54"/>
        <v>PAS DE DATE PAPIER</v>
      </c>
      <c r="AK144" s="1">
        <f t="shared" si="55"/>
        <v>32</v>
      </c>
      <c r="AL144" s="1">
        <f t="shared" si="56"/>
        <v>58</v>
      </c>
      <c r="AM144" s="1">
        <f t="shared" si="57"/>
        <v>72</v>
      </c>
      <c r="AN144" s="1">
        <f t="shared" si="58"/>
        <v>-14</v>
      </c>
      <c r="AO144" s="1">
        <f t="shared" si="41"/>
        <v>13</v>
      </c>
      <c r="AP144" s="1">
        <f t="shared" si="59"/>
        <v>31</v>
      </c>
      <c r="AQ144" s="1">
        <f t="shared" si="47"/>
        <v>-14</v>
      </c>
      <c r="AR144" s="1">
        <f t="shared" si="60"/>
        <v>27</v>
      </c>
    </row>
    <row r="145" spans="1:44" x14ac:dyDescent="0.3">
      <c r="A145" s="1">
        <v>25206</v>
      </c>
      <c r="B145" s="1" t="s">
        <v>229</v>
      </c>
      <c r="C145" s="3" t="s">
        <v>179</v>
      </c>
      <c r="D145" s="4">
        <v>30</v>
      </c>
      <c r="E145" s="24">
        <f>_xlfn.XLOOKUP(A145,[1]PONCEBLANC!$Q:$Q,[1]PONCEBLANC!$J:$J,100,0)</f>
        <v>100</v>
      </c>
      <c r="F145" s="2" t="s">
        <v>179</v>
      </c>
      <c r="G145" s="2" t="s">
        <v>450</v>
      </c>
      <c r="H145" s="2">
        <v>45953</v>
      </c>
      <c r="K145" s="2">
        <v>45958</v>
      </c>
      <c r="L145" s="2" t="s">
        <v>315</v>
      </c>
      <c r="N145" s="2">
        <v>45964</v>
      </c>
      <c r="O145" s="2" t="s">
        <v>199</v>
      </c>
      <c r="Q145" s="2">
        <v>45967</v>
      </c>
      <c r="R145" s="2">
        <v>46003</v>
      </c>
      <c r="S145" s="2">
        <v>46003</v>
      </c>
      <c r="T145" s="2">
        <v>46003</v>
      </c>
      <c r="U145" s="1">
        <v>1</v>
      </c>
      <c r="Y145" s="1" t="str">
        <f t="shared" si="48"/>
        <v>DATE MANQUANTE</v>
      </c>
      <c r="Z145" s="1" t="str">
        <f t="shared" si="49"/>
        <v>DATE MANQUANTE</v>
      </c>
      <c r="AA145" s="1">
        <f t="shared" si="42"/>
        <v>36</v>
      </c>
      <c r="AB145" s="1">
        <f t="shared" si="43"/>
        <v>36</v>
      </c>
      <c r="AC145" s="1">
        <f t="shared" si="44"/>
        <v>0</v>
      </c>
      <c r="AD145" s="1" t="str">
        <f t="shared" si="50"/>
        <v>PAS DE DEPART MATIERE</v>
      </c>
      <c r="AE145" s="1" t="str">
        <f t="shared" si="45"/>
        <v>PAS DE COMMANDE MATIERE</v>
      </c>
      <c r="AF145" s="1" t="str">
        <f t="shared" si="51"/>
        <v>PAS DE COMMANDE MATIERE</v>
      </c>
      <c r="AG145" s="1" t="str">
        <f t="shared" si="52"/>
        <v>PAS DE COMMANDE MATIERE</v>
      </c>
      <c r="AH145" s="1">
        <f t="shared" si="46"/>
        <v>10</v>
      </c>
      <c r="AI145" s="1">
        <f t="shared" si="53"/>
        <v>7</v>
      </c>
      <c r="AJ145" s="1" t="str">
        <f t="shared" si="54"/>
        <v>PAS DE DATE PAPIER</v>
      </c>
      <c r="AK145" s="1" t="str">
        <f t="shared" si="55"/>
        <v>STOCK</v>
      </c>
      <c r="AL145" s="1">
        <f t="shared" si="56"/>
        <v>3</v>
      </c>
      <c r="AM145" s="1" t="str">
        <f t="shared" si="57"/>
        <v>ANC FAB</v>
      </c>
      <c r="AN145" s="1">
        <f t="shared" si="58"/>
        <v>4</v>
      </c>
      <c r="AO145" s="1">
        <f t="shared" si="41"/>
        <v>3</v>
      </c>
      <c r="AP145" s="1">
        <f t="shared" si="59"/>
        <v>0</v>
      </c>
      <c r="AQ145" s="1">
        <f t="shared" si="47"/>
        <v>26</v>
      </c>
      <c r="AR145" s="1" t="str">
        <f t="shared" si="60"/>
        <v>PAS D'IMPRESSION</v>
      </c>
    </row>
    <row r="146" spans="1:44" x14ac:dyDescent="0.3">
      <c r="A146" s="1">
        <v>25207</v>
      </c>
      <c r="B146" s="1" t="s">
        <v>9</v>
      </c>
      <c r="C146" s="3" t="s">
        <v>244</v>
      </c>
      <c r="D146" s="4">
        <v>2000</v>
      </c>
      <c r="E146" s="24">
        <f>_xlfn.XLOOKUP(A146,[1]PONCEBLANC!$Q:$Q,[1]PONCEBLANC!$J:$J,100,0)</f>
        <v>41860</v>
      </c>
      <c r="F146" s="2" t="s">
        <v>310</v>
      </c>
      <c r="G146" s="2">
        <v>45692</v>
      </c>
      <c r="H146" s="2">
        <v>45958</v>
      </c>
      <c r="I146" s="2">
        <v>45960</v>
      </c>
      <c r="J146" s="2">
        <v>45987</v>
      </c>
      <c r="K146" s="2">
        <v>45981</v>
      </c>
      <c r="L146" s="2" t="s">
        <v>315</v>
      </c>
      <c r="M146" s="2">
        <v>45981</v>
      </c>
      <c r="N146" s="2">
        <v>45988</v>
      </c>
      <c r="O146" s="2">
        <v>45995</v>
      </c>
      <c r="P146" s="2">
        <v>45994</v>
      </c>
      <c r="Q146" s="2">
        <v>46002</v>
      </c>
      <c r="R146" s="2">
        <v>46045</v>
      </c>
      <c r="S146" s="2">
        <v>46045</v>
      </c>
      <c r="T146" s="2">
        <v>46059</v>
      </c>
      <c r="U146" s="1">
        <v>3</v>
      </c>
      <c r="Y146" s="1">
        <f t="shared" si="48"/>
        <v>263</v>
      </c>
      <c r="Z146" s="1">
        <f t="shared" si="49"/>
        <v>190</v>
      </c>
      <c r="AA146" s="1">
        <f t="shared" si="42"/>
        <v>73</v>
      </c>
      <c r="AB146" s="1">
        <f t="shared" si="43"/>
        <v>63</v>
      </c>
      <c r="AC146" s="1">
        <f t="shared" si="44"/>
        <v>0</v>
      </c>
      <c r="AD146" s="1">
        <f t="shared" si="50"/>
        <v>26</v>
      </c>
      <c r="AE146" s="1">
        <f t="shared" si="45"/>
        <v>2</v>
      </c>
      <c r="AF146" s="1">
        <f t="shared" si="51"/>
        <v>19</v>
      </c>
      <c r="AG146" s="1">
        <f t="shared" si="52"/>
        <v>5</v>
      </c>
      <c r="AH146" s="1">
        <f t="shared" si="46"/>
        <v>32</v>
      </c>
      <c r="AI146" s="1">
        <f t="shared" si="53"/>
        <v>22</v>
      </c>
      <c r="AJ146" s="1">
        <f t="shared" si="54"/>
        <v>17</v>
      </c>
      <c r="AK146" s="1">
        <f t="shared" si="55"/>
        <v>27</v>
      </c>
      <c r="AL146" s="1">
        <f t="shared" si="56"/>
        <v>17</v>
      </c>
      <c r="AM146" s="1" t="str">
        <f t="shared" si="57"/>
        <v>ANC FAB</v>
      </c>
      <c r="AN146" s="1">
        <f t="shared" si="58"/>
        <v>5</v>
      </c>
      <c r="AO146" s="1">
        <f t="shared" si="41"/>
        <v>10</v>
      </c>
      <c r="AP146" s="1">
        <f t="shared" si="59"/>
        <v>6</v>
      </c>
      <c r="AQ146" s="1">
        <f t="shared" si="47"/>
        <v>31</v>
      </c>
      <c r="AR146" s="1">
        <f t="shared" si="60"/>
        <v>10</v>
      </c>
    </row>
    <row r="147" spans="1:44" x14ac:dyDescent="0.3">
      <c r="A147" s="1">
        <v>25208</v>
      </c>
      <c r="B147" s="1" t="s">
        <v>245</v>
      </c>
      <c r="C147" s="3" t="s">
        <v>246</v>
      </c>
      <c r="D147" s="4">
        <v>1160</v>
      </c>
      <c r="E147" s="24">
        <f>_xlfn.XLOOKUP(A147,[1]PONCEBLANC!$Q:$Q,[1]PONCEBLANC!$J:$J,100,0)</f>
        <v>11634.8</v>
      </c>
      <c r="F147" s="2" t="s">
        <v>246</v>
      </c>
      <c r="G147" s="2">
        <v>45931</v>
      </c>
      <c r="H147" s="2">
        <v>45958</v>
      </c>
      <c r="I147" s="2">
        <v>45960</v>
      </c>
      <c r="J147" s="2">
        <v>45973</v>
      </c>
      <c r="K147" s="2">
        <v>46008</v>
      </c>
      <c r="N147" s="2">
        <v>46013</v>
      </c>
      <c r="O147" s="2">
        <v>45995</v>
      </c>
      <c r="Y147" s="1" t="str">
        <f t="shared" si="48"/>
        <v>DATE MANQUANTE</v>
      </c>
      <c r="Z147" s="1">
        <f t="shared" si="49"/>
        <v>19</v>
      </c>
      <c r="AA147" s="1" t="str">
        <f t="shared" si="42"/>
        <v>NON LIVRE</v>
      </c>
      <c r="AB147" s="1" t="str">
        <f t="shared" si="43"/>
        <v>NON LIVRE</v>
      </c>
      <c r="AC147" s="1" t="str">
        <f t="shared" si="44"/>
        <v>NON LIVRE</v>
      </c>
      <c r="AD147" s="1" t="str">
        <f t="shared" si="50"/>
        <v>NON LIVRE</v>
      </c>
      <c r="AE147" s="1" t="str">
        <f t="shared" si="45"/>
        <v>NON LIVRE</v>
      </c>
      <c r="AF147" s="1" t="str">
        <f t="shared" si="51"/>
        <v>NON LIVRE</v>
      </c>
      <c r="AG147" s="1" t="str">
        <f t="shared" si="52"/>
        <v>NON LIVRE</v>
      </c>
      <c r="AH147" s="1" t="str">
        <f t="shared" si="46"/>
        <v>NON LIVRE</v>
      </c>
      <c r="AI147" s="1" t="str">
        <f t="shared" si="53"/>
        <v>NON LIVRE</v>
      </c>
      <c r="AJ147" s="1" t="str">
        <f t="shared" si="54"/>
        <v>NON LIVRE</v>
      </c>
      <c r="AK147" s="1" t="str">
        <f t="shared" si="55"/>
        <v>NON LIVRE</v>
      </c>
      <c r="AL147" s="1" t="str">
        <f t="shared" si="56"/>
        <v>NON LIVRE</v>
      </c>
      <c r="AM147" s="1" t="str">
        <f t="shared" si="57"/>
        <v>NON LIVRE</v>
      </c>
      <c r="AN147" s="1" t="str">
        <f t="shared" si="58"/>
        <v>NON LIVRE</v>
      </c>
      <c r="AO147" s="1" t="str">
        <f t="shared" si="41"/>
        <v>NON LIVRE</v>
      </c>
      <c r="AP147" s="1" t="str">
        <f t="shared" si="59"/>
        <v>NON LIVRE</v>
      </c>
      <c r="AQ147" s="1" t="str">
        <f t="shared" si="47"/>
        <v>NON LIVRE</v>
      </c>
      <c r="AR147" s="1" t="str">
        <f t="shared" si="60"/>
        <v>NON LIVRE</v>
      </c>
    </row>
    <row r="148" spans="1:44" x14ac:dyDescent="0.3">
      <c r="A148" s="1">
        <v>25209</v>
      </c>
      <c r="B148" s="1" t="s">
        <v>35</v>
      </c>
      <c r="C148" s="3" t="s">
        <v>247</v>
      </c>
      <c r="D148" s="4">
        <v>1200</v>
      </c>
      <c r="E148" s="24">
        <f>_xlfn.XLOOKUP(A148,[1]PONCEBLANC!$Q:$Q,[1]PONCEBLANC!$J:$J,100,0)</f>
        <v>9660</v>
      </c>
      <c r="F148" s="2" t="s">
        <v>149</v>
      </c>
      <c r="G148" s="2">
        <v>45937</v>
      </c>
      <c r="H148" s="2">
        <v>45958</v>
      </c>
      <c r="I148" s="2">
        <v>46035</v>
      </c>
      <c r="J148" s="2">
        <v>46083</v>
      </c>
      <c r="K148" s="2">
        <v>46059</v>
      </c>
      <c r="L148" s="2">
        <v>46062</v>
      </c>
      <c r="N148" s="2">
        <v>46071</v>
      </c>
      <c r="O148" s="2">
        <v>46360</v>
      </c>
      <c r="P148" s="2">
        <v>46094</v>
      </c>
      <c r="Q148" s="2">
        <v>46080</v>
      </c>
      <c r="R148" s="2">
        <v>46136</v>
      </c>
      <c r="S148" s="2">
        <v>46122</v>
      </c>
      <c r="T148" s="2">
        <v>46129</v>
      </c>
      <c r="U148" s="1">
        <v>2</v>
      </c>
      <c r="Y148" s="1">
        <f t="shared" si="48"/>
        <v>138</v>
      </c>
      <c r="Z148" s="1">
        <f t="shared" si="49"/>
        <v>15</v>
      </c>
      <c r="AA148" s="1">
        <f t="shared" si="42"/>
        <v>123</v>
      </c>
      <c r="AB148" s="1">
        <f t="shared" si="43"/>
        <v>118</v>
      </c>
      <c r="AC148" s="1">
        <f t="shared" si="44"/>
        <v>-12</v>
      </c>
      <c r="AD148" s="1">
        <f t="shared" si="50"/>
        <v>98</v>
      </c>
      <c r="AE148" s="1">
        <f t="shared" si="45"/>
        <v>55</v>
      </c>
      <c r="AF148" s="1">
        <f t="shared" si="51"/>
        <v>34</v>
      </c>
      <c r="AG148" s="1">
        <f t="shared" si="52"/>
        <v>9</v>
      </c>
      <c r="AH148" s="1">
        <f t="shared" si="46"/>
        <v>88</v>
      </c>
      <c r="AI148" s="1">
        <f t="shared" si="53"/>
        <v>81</v>
      </c>
      <c r="AJ148" s="1" t="str">
        <f t="shared" si="54"/>
        <v>PAS DE DATE PAPIER</v>
      </c>
      <c r="AK148" s="1">
        <f t="shared" si="55"/>
        <v>288</v>
      </c>
      <c r="AL148" s="1">
        <f t="shared" si="56"/>
        <v>73</v>
      </c>
      <c r="AM148" s="1">
        <f t="shared" si="57"/>
        <v>74</v>
      </c>
      <c r="AN148" s="1">
        <f t="shared" si="58"/>
        <v>7</v>
      </c>
      <c r="AO148" s="1">
        <f t="shared" si="41"/>
        <v>7</v>
      </c>
      <c r="AP148" s="1">
        <f t="shared" si="59"/>
        <v>10</v>
      </c>
      <c r="AQ148" s="1">
        <f t="shared" si="47"/>
        <v>20</v>
      </c>
      <c r="AR148" s="1">
        <f t="shared" si="60"/>
        <v>5</v>
      </c>
    </row>
    <row r="149" spans="1:44" x14ac:dyDescent="0.3">
      <c r="A149" s="1">
        <v>25210</v>
      </c>
      <c r="B149" s="1" t="s">
        <v>35</v>
      </c>
      <c r="C149" s="3" t="s">
        <v>248</v>
      </c>
      <c r="D149" s="4">
        <v>3500</v>
      </c>
      <c r="E149" s="24">
        <f>_xlfn.XLOOKUP(A149,[1]PONCEBLANC!$Q:$Q,[1]PONCEBLANC!$J:$J,100,0)</f>
        <v>45465</v>
      </c>
      <c r="F149" s="2" t="s">
        <v>309</v>
      </c>
      <c r="G149" s="2">
        <v>45804</v>
      </c>
      <c r="H149" s="2">
        <v>45958</v>
      </c>
      <c r="I149" s="2">
        <v>46030</v>
      </c>
      <c r="J149" s="2">
        <v>46042</v>
      </c>
      <c r="K149" s="2">
        <v>46014</v>
      </c>
      <c r="L149" s="2">
        <v>46030</v>
      </c>
      <c r="M149" s="2">
        <v>45995</v>
      </c>
      <c r="N149" s="2">
        <v>46056</v>
      </c>
      <c r="O149" s="2">
        <v>45995</v>
      </c>
      <c r="P149" s="2">
        <v>46073</v>
      </c>
      <c r="Q149" s="2">
        <v>46062</v>
      </c>
      <c r="R149" s="2">
        <v>46094</v>
      </c>
      <c r="S149" s="2">
        <v>46094</v>
      </c>
      <c r="T149" s="2">
        <v>46115</v>
      </c>
      <c r="U149" s="1">
        <v>3</v>
      </c>
      <c r="Y149" s="1">
        <f t="shared" si="48"/>
        <v>223</v>
      </c>
      <c r="Z149" s="1">
        <f t="shared" si="49"/>
        <v>110</v>
      </c>
      <c r="AA149" s="1">
        <f t="shared" si="42"/>
        <v>113</v>
      </c>
      <c r="AB149" s="1">
        <f t="shared" si="43"/>
        <v>98</v>
      </c>
      <c r="AC149" s="1">
        <f t="shared" si="44"/>
        <v>0</v>
      </c>
      <c r="AD149" s="1">
        <f t="shared" si="50"/>
        <v>83</v>
      </c>
      <c r="AE149" s="1">
        <f t="shared" si="45"/>
        <v>52</v>
      </c>
      <c r="AF149" s="1">
        <f t="shared" si="51"/>
        <v>8</v>
      </c>
      <c r="AG149" s="1">
        <f t="shared" si="52"/>
        <v>23</v>
      </c>
      <c r="AH149" s="1">
        <f t="shared" si="46"/>
        <v>74</v>
      </c>
      <c r="AI149" s="1">
        <f t="shared" si="53"/>
        <v>70</v>
      </c>
      <c r="AJ149" s="1">
        <f t="shared" si="54"/>
        <v>27</v>
      </c>
      <c r="AK149" s="1">
        <f t="shared" si="55"/>
        <v>27</v>
      </c>
      <c r="AL149" s="1">
        <f t="shared" si="56"/>
        <v>40</v>
      </c>
      <c r="AM149" s="1">
        <f t="shared" si="57"/>
        <v>52</v>
      </c>
      <c r="AN149" s="1">
        <f t="shared" si="58"/>
        <v>18</v>
      </c>
      <c r="AO149" s="1">
        <f t="shared" si="41"/>
        <v>4</v>
      </c>
      <c r="AP149" s="1">
        <f t="shared" si="59"/>
        <v>9</v>
      </c>
      <c r="AQ149" s="1">
        <f t="shared" si="47"/>
        <v>15</v>
      </c>
      <c r="AR149" s="1">
        <f t="shared" si="60"/>
        <v>15</v>
      </c>
    </row>
    <row r="150" spans="1:44" x14ac:dyDescent="0.3">
      <c r="A150" s="1">
        <v>25211</v>
      </c>
      <c r="B150" s="1" t="s">
        <v>35</v>
      </c>
      <c r="C150" s="3" t="s">
        <v>249</v>
      </c>
      <c r="D150" s="4">
        <v>500</v>
      </c>
      <c r="E150" s="24">
        <f>_xlfn.XLOOKUP(A150,[1]PONCEBLANC!$Q:$Q,[1]PONCEBLANC!$J:$J,100,0)</f>
        <v>0</v>
      </c>
      <c r="F150" s="2" t="s">
        <v>152</v>
      </c>
      <c r="G150" s="2">
        <v>45897</v>
      </c>
      <c r="H150" s="2">
        <v>45958</v>
      </c>
      <c r="I150" s="2">
        <v>46092</v>
      </c>
      <c r="J150" s="2">
        <v>46139</v>
      </c>
      <c r="K150" s="2">
        <v>46135</v>
      </c>
      <c r="L150" s="2">
        <v>46157</v>
      </c>
      <c r="N150" s="2">
        <v>46164</v>
      </c>
      <c r="O150" s="2">
        <v>46058</v>
      </c>
      <c r="P150" s="2">
        <v>46169</v>
      </c>
      <c r="Q150" s="2">
        <v>46184</v>
      </c>
      <c r="R150" s="2">
        <v>46206</v>
      </c>
      <c r="S150" s="2">
        <v>46199</v>
      </c>
      <c r="T150" s="2">
        <v>46206</v>
      </c>
      <c r="U150" s="1">
        <v>2</v>
      </c>
      <c r="Y150" s="1">
        <f t="shared" si="48"/>
        <v>221</v>
      </c>
      <c r="Z150" s="1">
        <f t="shared" si="49"/>
        <v>43</v>
      </c>
      <c r="AA150" s="1">
        <f t="shared" si="42"/>
        <v>178</v>
      </c>
      <c r="AB150" s="1">
        <f t="shared" si="43"/>
        <v>173</v>
      </c>
      <c r="AC150" s="1">
        <f t="shared" si="44"/>
        <v>-7</v>
      </c>
      <c r="AD150" s="1">
        <f t="shared" si="50"/>
        <v>151</v>
      </c>
      <c r="AE150" s="1">
        <f t="shared" si="45"/>
        <v>96</v>
      </c>
      <c r="AF150" s="1">
        <f t="shared" si="51"/>
        <v>33</v>
      </c>
      <c r="AG150" s="1">
        <f t="shared" si="52"/>
        <v>22</v>
      </c>
      <c r="AH150" s="1">
        <f t="shared" si="46"/>
        <v>162</v>
      </c>
      <c r="AI150" s="1">
        <f t="shared" si="53"/>
        <v>148</v>
      </c>
      <c r="AJ150" s="1" t="str">
        <f t="shared" si="54"/>
        <v>PAS DE DATE PAPIER</v>
      </c>
      <c r="AK150" s="1">
        <f t="shared" si="55"/>
        <v>72</v>
      </c>
      <c r="AL150" s="1">
        <f t="shared" si="56"/>
        <v>127</v>
      </c>
      <c r="AM150" s="1">
        <f t="shared" si="57"/>
        <v>143</v>
      </c>
      <c r="AN150" s="1">
        <f t="shared" si="58"/>
        <v>5</v>
      </c>
      <c r="AO150" s="1">
        <f t="shared" si="41"/>
        <v>14</v>
      </c>
      <c r="AP150" s="1">
        <f t="shared" si="59"/>
        <v>11</v>
      </c>
      <c r="AQ150" s="1">
        <f t="shared" si="47"/>
        <v>11</v>
      </c>
      <c r="AR150" s="1">
        <f t="shared" si="60"/>
        <v>5</v>
      </c>
    </row>
    <row r="151" spans="1:44" x14ac:dyDescent="0.3">
      <c r="A151" s="1">
        <v>25212</v>
      </c>
      <c r="B151" s="1" t="s">
        <v>62</v>
      </c>
      <c r="C151" s="3" t="s">
        <v>250</v>
      </c>
      <c r="D151" s="4">
        <f>3300+2000</f>
        <v>5300</v>
      </c>
      <c r="E151" s="24">
        <f>_xlfn.XLOOKUP(A151,[1]PONCEBLANC!$Q:$Q,[1]PONCEBLANC!$J:$J,100,0)</f>
        <v>57186.999999999993</v>
      </c>
      <c r="G151" s="2">
        <v>45950</v>
      </c>
      <c r="H151" s="2">
        <v>45958</v>
      </c>
      <c r="I151" s="2">
        <v>45999</v>
      </c>
      <c r="K151" s="2">
        <v>46003</v>
      </c>
      <c r="L151" s="2">
        <v>46010</v>
      </c>
      <c r="M151" s="2">
        <v>45980</v>
      </c>
      <c r="N151" s="2">
        <v>46013</v>
      </c>
      <c r="O151" s="2" t="s">
        <v>199</v>
      </c>
      <c r="P151" s="2">
        <v>46014</v>
      </c>
      <c r="Q151" s="2">
        <v>46031</v>
      </c>
      <c r="R151" s="2">
        <v>46115</v>
      </c>
      <c r="S151" s="2">
        <v>46115</v>
      </c>
      <c r="T151" s="2">
        <v>46115</v>
      </c>
      <c r="U151" s="1">
        <v>2</v>
      </c>
      <c r="Y151" s="1">
        <f t="shared" si="48"/>
        <v>119</v>
      </c>
      <c r="Z151" s="1">
        <f t="shared" si="49"/>
        <v>6</v>
      </c>
      <c r="AA151" s="1">
        <f t="shared" si="42"/>
        <v>113</v>
      </c>
      <c r="AB151" s="1">
        <f t="shared" si="43"/>
        <v>113</v>
      </c>
      <c r="AC151" s="1">
        <f t="shared" si="44"/>
        <v>0</v>
      </c>
      <c r="AD151" s="1">
        <f t="shared" si="50"/>
        <v>40</v>
      </c>
      <c r="AE151" s="1">
        <f t="shared" si="45"/>
        <v>29</v>
      </c>
      <c r="AF151" s="1" t="str">
        <f t="shared" si="51"/>
        <v>PAS DE COMMANDE MATIERE</v>
      </c>
      <c r="AG151" s="1">
        <f t="shared" si="52"/>
        <v>32866</v>
      </c>
      <c r="AH151" s="1">
        <f t="shared" si="46"/>
        <v>53</v>
      </c>
      <c r="AI151" s="1">
        <f t="shared" si="53"/>
        <v>39</v>
      </c>
      <c r="AJ151" s="1">
        <f t="shared" si="54"/>
        <v>16</v>
      </c>
      <c r="AK151" s="1" t="str">
        <f t="shared" si="55"/>
        <v>STOCK</v>
      </c>
      <c r="AL151" s="1">
        <f t="shared" si="56"/>
        <v>33</v>
      </c>
      <c r="AM151" s="1">
        <f t="shared" si="57"/>
        <v>38</v>
      </c>
      <c r="AN151" s="1">
        <f t="shared" si="58"/>
        <v>1</v>
      </c>
      <c r="AO151" s="1">
        <f t="shared" si="41"/>
        <v>14</v>
      </c>
      <c r="AP151" s="1">
        <f t="shared" si="59"/>
        <v>13</v>
      </c>
      <c r="AQ151" s="1">
        <f t="shared" si="47"/>
        <v>60</v>
      </c>
      <c r="AR151" s="1">
        <f t="shared" si="60"/>
        <v>0</v>
      </c>
    </row>
    <row r="152" spans="1:44" x14ac:dyDescent="0.3">
      <c r="A152" s="1">
        <v>25213</v>
      </c>
      <c r="B152" s="1" t="s">
        <v>17</v>
      </c>
      <c r="C152" s="3" t="s">
        <v>251</v>
      </c>
      <c r="D152" s="4">
        <v>3000</v>
      </c>
      <c r="E152" s="24">
        <f>_xlfn.XLOOKUP(A152,[1]PONCEBLANC!$Q:$Q,[1]PONCEBLANC!$J:$J,100,0)</f>
        <v>16350</v>
      </c>
      <c r="F152" s="2" t="s">
        <v>136</v>
      </c>
      <c r="G152" s="2">
        <v>45954</v>
      </c>
      <c r="H152" s="2">
        <v>45964</v>
      </c>
      <c r="I152" s="2">
        <v>45994</v>
      </c>
      <c r="J152" s="2">
        <v>46028</v>
      </c>
      <c r="K152" s="2">
        <v>46007</v>
      </c>
      <c r="L152" s="2">
        <v>46049</v>
      </c>
      <c r="N152" s="2">
        <v>46057</v>
      </c>
      <c r="O152" s="2" t="s">
        <v>199</v>
      </c>
      <c r="P152" s="2">
        <v>46063</v>
      </c>
      <c r="Q152" s="2">
        <v>46066</v>
      </c>
      <c r="R152" s="2">
        <v>46094</v>
      </c>
      <c r="S152" s="2">
        <v>46094</v>
      </c>
      <c r="T152" s="2">
        <v>46119</v>
      </c>
      <c r="U152" s="1">
        <v>3</v>
      </c>
      <c r="Y152" s="1">
        <f t="shared" si="48"/>
        <v>117</v>
      </c>
      <c r="Z152" s="1">
        <f t="shared" si="49"/>
        <v>6</v>
      </c>
      <c r="AA152" s="1">
        <f t="shared" si="42"/>
        <v>111</v>
      </c>
      <c r="AB152" s="1">
        <f t="shared" si="43"/>
        <v>94</v>
      </c>
      <c r="AC152" s="1">
        <f t="shared" si="44"/>
        <v>0</v>
      </c>
      <c r="AD152" s="1">
        <f t="shared" si="50"/>
        <v>71</v>
      </c>
      <c r="AE152" s="1">
        <f t="shared" si="45"/>
        <v>22</v>
      </c>
      <c r="AF152" s="1">
        <f t="shared" si="51"/>
        <v>24</v>
      </c>
      <c r="AG152" s="1">
        <f t="shared" si="52"/>
        <v>25</v>
      </c>
      <c r="AH152" s="1">
        <f t="shared" si="46"/>
        <v>74</v>
      </c>
      <c r="AI152" s="1">
        <f t="shared" si="53"/>
        <v>67</v>
      </c>
      <c r="AJ152" s="1" t="str">
        <f t="shared" si="54"/>
        <v>PAS DE DATE PAPIER</v>
      </c>
      <c r="AK152" s="1" t="str">
        <f t="shared" si="55"/>
        <v>STOCK</v>
      </c>
      <c r="AL152" s="1">
        <f t="shared" si="56"/>
        <v>31</v>
      </c>
      <c r="AM152" s="1">
        <f t="shared" si="57"/>
        <v>61</v>
      </c>
      <c r="AN152" s="1">
        <f t="shared" si="58"/>
        <v>6</v>
      </c>
      <c r="AO152" s="1">
        <f t="shared" si="41"/>
        <v>7</v>
      </c>
      <c r="AP152" s="1">
        <f t="shared" si="59"/>
        <v>3</v>
      </c>
      <c r="AQ152" s="1">
        <f t="shared" si="47"/>
        <v>20</v>
      </c>
      <c r="AR152" s="1">
        <f t="shared" si="60"/>
        <v>17</v>
      </c>
    </row>
    <row r="153" spans="1:44" x14ac:dyDescent="0.3">
      <c r="A153" s="1">
        <v>25214</v>
      </c>
      <c r="B153" s="1" t="s">
        <v>17</v>
      </c>
      <c r="C153" s="3" t="s">
        <v>252</v>
      </c>
      <c r="D153" s="4">
        <v>2000</v>
      </c>
      <c r="E153" s="24">
        <f>_xlfn.XLOOKUP(A153,[1]PONCEBLANC!$Q:$Q,[1]PONCEBLANC!$J:$J,100,0)</f>
        <v>6980</v>
      </c>
      <c r="F153" s="2" t="s">
        <v>165</v>
      </c>
      <c r="G153" s="2">
        <v>45954</v>
      </c>
      <c r="H153" s="2">
        <v>45964</v>
      </c>
      <c r="I153" s="2">
        <v>45967</v>
      </c>
      <c r="J153" s="2">
        <v>45985</v>
      </c>
      <c r="K153" s="2">
        <v>45994</v>
      </c>
      <c r="L153" s="2">
        <v>46009</v>
      </c>
      <c r="N153" s="2">
        <v>46021</v>
      </c>
      <c r="O153" s="2">
        <v>46029</v>
      </c>
      <c r="P153" s="2">
        <v>46031</v>
      </c>
      <c r="Q153" s="2">
        <v>46031</v>
      </c>
      <c r="R153" s="2">
        <v>46059</v>
      </c>
      <c r="S153" s="2">
        <v>46059</v>
      </c>
      <c r="T153" s="2">
        <v>46059</v>
      </c>
      <c r="U153" s="1">
        <v>1</v>
      </c>
      <c r="Y153" s="1">
        <f t="shared" si="48"/>
        <v>75</v>
      </c>
      <c r="Z153" s="1">
        <f t="shared" si="49"/>
        <v>6</v>
      </c>
      <c r="AA153" s="1">
        <f t="shared" si="42"/>
        <v>69</v>
      </c>
      <c r="AB153" s="1">
        <f t="shared" si="43"/>
        <v>69</v>
      </c>
      <c r="AC153" s="1">
        <f t="shared" si="44"/>
        <v>0</v>
      </c>
      <c r="AD153" s="1">
        <f t="shared" si="50"/>
        <v>49</v>
      </c>
      <c r="AE153" s="1">
        <f t="shared" si="45"/>
        <v>3</v>
      </c>
      <c r="AF153" s="1">
        <f t="shared" si="51"/>
        <v>12</v>
      </c>
      <c r="AG153" s="1">
        <f t="shared" si="52"/>
        <v>34</v>
      </c>
      <c r="AH153" s="1">
        <f t="shared" si="46"/>
        <v>49</v>
      </c>
      <c r="AI153" s="1">
        <f t="shared" si="53"/>
        <v>41</v>
      </c>
      <c r="AJ153" s="1" t="str">
        <f t="shared" si="54"/>
        <v>PAS DE DATE PAPIER</v>
      </c>
      <c r="AK153" s="1">
        <f t="shared" si="55"/>
        <v>47</v>
      </c>
      <c r="AL153" s="1">
        <f t="shared" si="56"/>
        <v>22</v>
      </c>
      <c r="AM153" s="1">
        <f t="shared" si="57"/>
        <v>33</v>
      </c>
      <c r="AN153" s="1">
        <f t="shared" si="58"/>
        <v>8</v>
      </c>
      <c r="AO153" s="1">
        <f t="shared" si="41"/>
        <v>8</v>
      </c>
      <c r="AP153" s="1">
        <f t="shared" si="59"/>
        <v>0</v>
      </c>
      <c r="AQ153" s="1">
        <f t="shared" si="47"/>
        <v>20</v>
      </c>
      <c r="AR153" s="1">
        <f t="shared" si="60"/>
        <v>0</v>
      </c>
    </row>
    <row r="154" spans="1:44" x14ac:dyDescent="0.3">
      <c r="A154" s="1">
        <v>25215</v>
      </c>
      <c r="B154" s="1" t="s">
        <v>17</v>
      </c>
      <c r="C154" s="3" t="s">
        <v>253</v>
      </c>
      <c r="D154" s="4">
        <v>2500</v>
      </c>
      <c r="E154" s="24">
        <f>_xlfn.XLOOKUP(A154,[1]PONCEBLANC!$Q:$Q,[1]PONCEBLANC!$J:$J,100,0)</f>
        <v>12375</v>
      </c>
      <c r="F154" s="2" t="s">
        <v>136</v>
      </c>
      <c r="G154" s="2">
        <v>45954</v>
      </c>
      <c r="H154" s="2">
        <v>45964</v>
      </c>
      <c r="Y154" s="1" t="str">
        <f t="shared" si="48"/>
        <v>DATE MANQUANTE</v>
      </c>
      <c r="Z154" s="1">
        <f t="shared" si="49"/>
        <v>6</v>
      </c>
      <c r="AA154" s="1" t="str">
        <f t="shared" si="42"/>
        <v>NON LIVRE</v>
      </c>
      <c r="AB154" s="1" t="str">
        <f t="shared" si="43"/>
        <v>NON LIVRE</v>
      </c>
      <c r="AC154" s="1" t="str">
        <f t="shared" si="44"/>
        <v>NON LIVRE</v>
      </c>
      <c r="AD154" s="1" t="str">
        <f t="shared" si="50"/>
        <v>NON LIVRE</v>
      </c>
      <c r="AE154" s="1" t="str">
        <f t="shared" si="45"/>
        <v>NON LIVRE</v>
      </c>
      <c r="AF154" s="1" t="str">
        <f t="shared" si="51"/>
        <v>NON LIVRE</v>
      </c>
      <c r="AG154" s="1" t="str">
        <f t="shared" si="52"/>
        <v>NON LIVRE</v>
      </c>
      <c r="AH154" s="1" t="str">
        <f t="shared" si="46"/>
        <v>NON LIVRE</v>
      </c>
      <c r="AI154" s="1" t="str">
        <f t="shared" si="53"/>
        <v>NON LIVRE</v>
      </c>
      <c r="AJ154" s="1" t="str">
        <f t="shared" si="54"/>
        <v>NON LIVRE</v>
      </c>
      <c r="AK154" s="1" t="str">
        <f t="shared" si="55"/>
        <v>NON LIVRE</v>
      </c>
      <c r="AL154" s="1" t="str">
        <f t="shared" si="56"/>
        <v>NON LIVRE</v>
      </c>
      <c r="AM154" s="1" t="str">
        <f t="shared" si="57"/>
        <v>NON LIVRE</v>
      </c>
      <c r="AN154" s="1" t="str">
        <f t="shared" si="58"/>
        <v>NON LIVRE</v>
      </c>
      <c r="AO154" s="1" t="str">
        <f t="shared" si="41"/>
        <v>NON LIVRE</v>
      </c>
      <c r="AP154" s="1" t="str">
        <f t="shared" si="59"/>
        <v>NON LIVRE</v>
      </c>
      <c r="AQ154" s="1" t="str">
        <f t="shared" si="47"/>
        <v>NON LIVRE</v>
      </c>
      <c r="AR154" s="1" t="str">
        <f t="shared" si="60"/>
        <v>NON LIVRE</v>
      </c>
    </row>
    <row r="155" spans="1:44" x14ac:dyDescent="0.3">
      <c r="A155" s="1">
        <v>25216</v>
      </c>
      <c r="B155" s="1" t="s">
        <v>62</v>
      </c>
      <c r="C155" s="3" t="s">
        <v>190</v>
      </c>
      <c r="D155" s="4">
        <v>200</v>
      </c>
      <c r="E155" s="24">
        <f>_xlfn.XLOOKUP(A155,[1]PONCEBLANC!$Q:$Q,[1]PONCEBLANC!$J:$J,100,0)</f>
        <v>3800</v>
      </c>
      <c r="F155" s="2" t="s">
        <v>190</v>
      </c>
      <c r="G155" s="2">
        <v>45918</v>
      </c>
      <c r="H155" s="2">
        <v>45964</v>
      </c>
      <c r="I155" s="2">
        <v>45964</v>
      </c>
      <c r="J155" s="2">
        <v>46042</v>
      </c>
      <c r="K155" s="2">
        <v>45982</v>
      </c>
      <c r="N155" s="2">
        <v>45987</v>
      </c>
      <c r="P155" s="2">
        <v>46045</v>
      </c>
      <c r="Q155" s="2">
        <v>46015</v>
      </c>
      <c r="R155" s="2">
        <v>46080</v>
      </c>
      <c r="S155" s="2">
        <v>46073</v>
      </c>
      <c r="T155" s="2">
        <v>46073</v>
      </c>
      <c r="U155" s="1">
        <v>1</v>
      </c>
      <c r="Y155" s="1">
        <f t="shared" si="48"/>
        <v>111</v>
      </c>
      <c r="Z155" s="1">
        <f t="shared" si="49"/>
        <v>32</v>
      </c>
      <c r="AA155" s="1">
        <f t="shared" si="42"/>
        <v>79</v>
      </c>
      <c r="AB155" s="1">
        <f t="shared" si="43"/>
        <v>79</v>
      </c>
      <c r="AC155" s="1">
        <f t="shared" si="44"/>
        <v>-7</v>
      </c>
      <c r="AD155" s="1">
        <f t="shared" si="50"/>
        <v>59</v>
      </c>
      <c r="AE155" s="1">
        <f t="shared" si="45"/>
        <v>0</v>
      </c>
      <c r="AF155" s="1">
        <f t="shared" si="51"/>
        <v>56</v>
      </c>
      <c r="AG155" s="1">
        <f t="shared" si="52"/>
        <v>3</v>
      </c>
      <c r="AH155" s="1">
        <f t="shared" si="46"/>
        <v>37</v>
      </c>
      <c r="AI155" s="1">
        <f t="shared" si="53"/>
        <v>17</v>
      </c>
      <c r="AJ155" s="1" t="str">
        <f t="shared" si="54"/>
        <v>PAS DE DATE PAPIER</v>
      </c>
      <c r="AK155" s="1" t="str">
        <f t="shared" si="55"/>
        <v>PAS DE DATE CARTON</v>
      </c>
      <c r="AL155" s="1">
        <f t="shared" si="56"/>
        <v>14</v>
      </c>
      <c r="AM155" s="1" t="str">
        <f t="shared" si="57"/>
        <v>PAS DE DATE VALIDATION MODELE CLIENT</v>
      </c>
      <c r="AN155" s="1">
        <f t="shared" si="58"/>
        <v>3</v>
      </c>
      <c r="AO155" s="1">
        <f t="shared" si="41"/>
        <v>20</v>
      </c>
      <c r="AP155" s="1">
        <f t="shared" si="59"/>
        <v>22</v>
      </c>
      <c r="AQ155" s="1">
        <f t="shared" si="47"/>
        <v>20</v>
      </c>
      <c r="AR155" s="1">
        <f t="shared" si="60"/>
        <v>0</v>
      </c>
    </row>
    <row r="156" spans="1:44" x14ac:dyDescent="0.3">
      <c r="A156" s="1">
        <v>25217</v>
      </c>
      <c r="B156" s="1" t="s">
        <v>254</v>
      </c>
      <c r="C156" s="3" t="s">
        <v>255</v>
      </c>
      <c r="D156" s="4">
        <v>400</v>
      </c>
      <c r="E156" s="24">
        <f>_xlfn.XLOOKUP(A156,[1]PONCEBLANC!$Q:$Q,[1]PONCEBLANC!$J:$J,100,0)</f>
        <v>14460</v>
      </c>
      <c r="F156" s="2" t="s">
        <v>308</v>
      </c>
      <c r="G156" s="2">
        <v>45939</v>
      </c>
      <c r="H156" s="2">
        <v>45965</v>
      </c>
      <c r="I156" s="2">
        <v>45965</v>
      </c>
      <c r="Y156" s="1" t="str">
        <f t="shared" si="48"/>
        <v>DATE MANQUANTE</v>
      </c>
      <c r="Z156" s="1">
        <f t="shared" si="49"/>
        <v>18</v>
      </c>
      <c r="AA156" s="1" t="str">
        <f t="shared" si="42"/>
        <v>NON LIVRE</v>
      </c>
      <c r="AB156" s="1" t="str">
        <f t="shared" si="43"/>
        <v>NON LIVRE</v>
      </c>
      <c r="AC156" s="1" t="str">
        <f t="shared" si="44"/>
        <v>NON LIVRE</v>
      </c>
      <c r="AD156" s="1" t="str">
        <f t="shared" si="50"/>
        <v>NON LIVRE</v>
      </c>
      <c r="AE156" s="1" t="str">
        <f t="shared" si="45"/>
        <v>NON LIVRE</v>
      </c>
      <c r="AF156" s="1" t="str">
        <f t="shared" si="51"/>
        <v>NON LIVRE</v>
      </c>
      <c r="AG156" s="1" t="str">
        <f t="shared" si="52"/>
        <v>NON LIVRE</v>
      </c>
      <c r="AH156" s="1" t="str">
        <f t="shared" si="46"/>
        <v>NON LIVRE</v>
      </c>
      <c r="AI156" s="1" t="str">
        <f t="shared" si="53"/>
        <v>NON LIVRE</v>
      </c>
      <c r="AJ156" s="1" t="str">
        <f t="shared" si="54"/>
        <v>NON LIVRE</v>
      </c>
      <c r="AK156" s="1" t="str">
        <f t="shared" si="55"/>
        <v>NON LIVRE</v>
      </c>
      <c r="AL156" s="1" t="str">
        <f t="shared" si="56"/>
        <v>NON LIVRE</v>
      </c>
      <c r="AM156" s="1" t="str">
        <f t="shared" si="57"/>
        <v>NON LIVRE</v>
      </c>
      <c r="AN156" s="1" t="str">
        <f t="shared" si="58"/>
        <v>NON LIVRE</v>
      </c>
      <c r="AO156" s="1" t="str">
        <f t="shared" si="41"/>
        <v>NON LIVRE</v>
      </c>
      <c r="AP156" s="1" t="str">
        <f t="shared" si="59"/>
        <v>NON LIVRE</v>
      </c>
      <c r="AQ156" s="1" t="str">
        <f t="shared" si="47"/>
        <v>NON LIVRE</v>
      </c>
      <c r="AR156" s="1" t="str">
        <f t="shared" si="60"/>
        <v>NON LIVRE</v>
      </c>
    </row>
    <row r="157" spans="1:44" x14ac:dyDescent="0.3">
      <c r="A157" s="1">
        <v>25218</v>
      </c>
      <c r="B157" s="1" t="s">
        <v>254</v>
      </c>
      <c r="C157" s="3" t="s">
        <v>256</v>
      </c>
      <c r="D157" s="4">
        <v>300</v>
      </c>
      <c r="E157" s="24">
        <f>_xlfn.XLOOKUP(A157,[1]PONCEBLANC!$Q:$Q,[1]PONCEBLANC!$J:$J,100,0)</f>
        <v>4884</v>
      </c>
      <c r="F157" s="2" t="s">
        <v>257</v>
      </c>
      <c r="G157" s="2">
        <v>45947</v>
      </c>
      <c r="H157" s="2">
        <v>45965</v>
      </c>
      <c r="I157" s="2">
        <v>45965</v>
      </c>
      <c r="Y157" s="1" t="str">
        <f t="shared" si="48"/>
        <v>DATE MANQUANTE</v>
      </c>
      <c r="Z157" s="1">
        <f t="shared" si="49"/>
        <v>12</v>
      </c>
      <c r="AA157" s="1" t="str">
        <f t="shared" si="42"/>
        <v>NON LIVRE</v>
      </c>
      <c r="AB157" s="1" t="str">
        <f t="shared" si="43"/>
        <v>NON LIVRE</v>
      </c>
      <c r="AC157" s="1" t="str">
        <f t="shared" si="44"/>
        <v>NON LIVRE</v>
      </c>
      <c r="AD157" s="1" t="str">
        <f t="shared" si="50"/>
        <v>NON LIVRE</v>
      </c>
      <c r="AE157" s="1" t="str">
        <f t="shared" si="45"/>
        <v>NON LIVRE</v>
      </c>
      <c r="AF157" s="1" t="str">
        <f t="shared" si="51"/>
        <v>NON LIVRE</v>
      </c>
      <c r="AG157" s="1" t="str">
        <f t="shared" si="52"/>
        <v>NON LIVRE</v>
      </c>
      <c r="AH157" s="1" t="str">
        <f t="shared" si="46"/>
        <v>NON LIVRE</v>
      </c>
      <c r="AI157" s="1" t="str">
        <f t="shared" si="53"/>
        <v>NON LIVRE</v>
      </c>
      <c r="AJ157" s="1" t="str">
        <f t="shared" si="54"/>
        <v>NON LIVRE</v>
      </c>
      <c r="AK157" s="1" t="str">
        <f t="shared" si="55"/>
        <v>NON LIVRE</v>
      </c>
      <c r="AL157" s="1" t="str">
        <f t="shared" si="56"/>
        <v>NON LIVRE</v>
      </c>
      <c r="AM157" s="1" t="str">
        <f t="shared" si="57"/>
        <v>NON LIVRE</v>
      </c>
      <c r="AN157" s="1" t="str">
        <f t="shared" si="58"/>
        <v>NON LIVRE</v>
      </c>
      <c r="AO157" s="1" t="str">
        <f t="shared" si="41"/>
        <v>NON LIVRE</v>
      </c>
      <c r="AP157" s="1" t="str">
        <f t="shared" si="59"/>
        <v>NON LIVRE</v>
      </c>
      <c r="AQ157" s="1" t="str">
        <f t="shared" si="47"/>
        <v>NON LIVRE</v>
      </c>
      <c r="AR157" s="1" t="str">
        <f t="shared" si="60"/>
        <v>NON LIVRE</v>
      </c>
    </row>
    <row r="158" spans="1:44" x14ac:dyDescent="0.3">
      <c r="A158" s="1">
        <v>25219</v>
      </c>
      <c r="B158" s="1" t="s">
        <v>41</v>
      </c>
      <c r="C158" s="3" t="s">
        <v>258</v>
      </c>
      <c r="D158" s="4">
        <v>14000</v>
      </c>
      <c r="E158" s="24">
        <f>_xlfn.XLOOKUP(A158,[1]PONCEBLANC!$Q:$Q,[1]PONCEBLANC!$J:$J,100,0)</f>
        <v>50260</v>
      </c>
      <c r="F158" s="2" t="s">
        <v>137</v>
      </c>
      <c r="G158" s="2">
        <v>45904</v>
      </c>
      <c r="H158" s="2">
        <v>45965</v>
      </c>
      <c r="I158" s="2">
        <v>46006</v>
      </c>
      <c r="J158" s="2">
        <v>46098</v>
      </c>
      <c r="K158" s="2">
        <v>46097</v>
      </c>
      <c r="L158" s="2">
        <v>46071</v>
      </c>
      <c r="N158" s="2">
        <v>46105</v>
      </c>
      <c r="P158" s="2">
        <v>46051</v>
      </c>
      <c r="Q158" s="2">
        <v>46097</v>
      </c>
      <c r="R158" s="2">
        <v>46136</v>
      </c>
      <c r="S158" s="2">
        <v>46135</v>
      </c>
      <c r="T158" s="2">
        <v>46185</v>
      </c>
      <c r="U158" s="1">
        <v>7</v>
      </c>
      <c r="Y158" s="1">
        <f t="shared" si="48"/>
        <v>201</v>
      </c>
      <c r="Z158" s="1">
        <f t="shared" si="49"/>
        <v>43</v>
      </c>
      <c r="AA158" s="1">
        <f t="shared" si="42"/>
        <v>158</v>
      </c>
      <c r="AB158" s="1">
        <f t="shared" si="43"/>
        <v>122</v>
      </c>
      <c r="AC158" s="1">
        <f t="shared" si="44"/>
        <v>-3</v>
      </c>
      <c r="AD158" s="1">
        <f t="shared" si="50"/>
        <v>62</v>
      </c>
      <c r="AE158" s="1">
        <f t="shared" si="45"/>
        <v>29</v>
      </c>
      <c r="AF158" s="1">
        <f t="shared" si="51"/>
        <v>66</v>
      </c>
      <c r="AG158" s="1">
        <f t="shared" si="52"/>
        <v>-35</v>
      </c>
      <c r="AH158" s="1">
        <f t="shared" si="46"/>
        <v>94</v>
      </c>
      <c r="AI158" s="1">
        <f t="shared" si="53"/>
        <v>100</v>
      </c>
      <c r="AJ158" s="1" t="str">
        <f t="shared" si="54"/>
        <v>PAS DE DATE PAPIER</v>
      </c>
      <c r="AK158" s="1" t="str">
        <f t="shared" si="55"/>
        <v>PAS DE DATE CARTON</v>
      </c>
      <c r="AL158" s="1">
        <f t="shared" si="56"/>
        <v>94</v>
      </c>
      <c r="AM158" s="1">
        <f t="shared" si="57"/>
        <v>76</v>
      </c>
      <c r="AN158" s="1">
        <f t="shared" si="58"/>
        <v>6</v>
      </c>
      <c r="AO158" s="1">
        <f t="shared" si="41"/>
        <v>-8</v>
      </c>
      <c r="AP158" s="1">
        <f t="shared" si="59"/>
        <v>32</v>
      </c>
      <c r="AQ158" s="1">
        <f t="shared" si="47"/>
        <v>28</v>
      </c>
      <c r="AR158" s="1">
        <f t="shared" si="60"/>
        <v>36</v>
      </c>
    </row>
    <row r="159" spans="1:44" x14ac:dyDescent="0.3">
      <c r="A159" s="1">
        <v>25220</v>
      </c>
      <c r="B159" s="1" t="s">
        <v>259</v>
      </c>
      <c r="C159" s="3" t="s">
        <v>260</v>
      </c>
      <c r="D159" s="4">
        <v>1700</v>
      </c>
      <c r="E159" s="24">
        <f>_xlfn.XLOOKUP(A159,[1]PONCEBLANC!$Q:$Q,[1]PONCEBLANC!$J:$J,100,0)</f>
        <v>100</v>
      </c>
      <c r="F159" s="2" t="s">
        <v>257</v>
      </c>
      <c r="G159" s="2" t="s">
        <v>450</v>
      </c>
      <c r="H159" s="2">
        <v>45967</v>
      </c>
      <c r="I159" s="2">
        <v>45967</v>
      </c>
      <c r="J159" s="2">
        <v>46002</v>
      </c>
      <c r="K159" s="2">
        <v>46006</v>
      </c>
      <c r="L159" s="2">
        <v>46035</v>
      </c>
      <c r="M159" s="2">
        <v>45994</v>
      </c>
      <c r="N159" s="2">
        <v>46044</v>
      </c>
      <c r="P159" s="2">
        <v>46045</v>
      </c>
      <c r="Q159" s="2">
        <v>46031</v>
      </c>
      <c r="R159" s="2">
        <v>46073</v>
      </c>
      <c r="S159" s="2">
        <v>46073</v>
      </c>
      <c r="T159" s="2">
        <v>46073</v>
      </c>
      <c r="U159" s="1">
        <v>1</v>
      </c>
      <c r="Y159" s="1" t="str">
        <f t="shared" si="48"/>
        <v>DATE MANQUANTE</v>
      </c>
      <c r="Z159" s="1" t="str">
        <f t="shared" si="49"/>
        <v>DATE MANQUANTE</v>
      </c>
      <c r="AA159" s="1">
        <f t="shared" si="42"/>
        <v>76</v>
      </c>
      <c r="AB159" s="1">
        <f t="shared" si="43"/>
        <v>76</v>
      </c>
      <c r="AC159" s="1">
        <f t="shared" si="44"/>
        <v>0</v>
      </c>
      <c r="AD159" s="1">
        <f t="shared" si="50"/>
        <v>56</v>
      </c>
      <c r="AE159" s="1">
        <f t="shared" si="45"/>
        <v>0</v>
      </c>
      <c r="AF159" s="1">
        <f t="shared" si="51"/>
        <v>25</v>
      </c>
      <c r="AG159" s="1">
        <f t="shared" si="52"/>
        <v>31</v>
      </c>
      <c r="AH159" s="1">
        <f t="shared" si="46"/>
        <v>46</v>
      </c>
      <c r="AI159" s="1">
        <f t="shared" si="53"/>
        <v>55</v>
      </c>
      <c r="AJ159" s="1">
        <f t="shared" si="54"/>
        <v>19</v>
      </c>
      <c r="AK159" s="1" t="str">
        <f t="shared" si="55"/>
        <v>PAS DE DATE CARTON</v>
      </c>
      <c r="AL159" s="1">
        <f t="shared" si="56"/>
        <v>27</v>
      </c>
      <c r="AM159" s="1">
        <f t="shared" si="57"/>
        <v>48</v>
      </c>
      <c r="AN159" s="1">
        <f t="shared" si="58"/>
        <v>7</v>
      </c>
      <c r="AO159" s="1">
        <f t="shared" si="41"/>
        <v>-11</v>
      </c>
      <c r="AP159" s="1">
        <f t="shared" si="59"/>
        <v>10</v>
      </c>
      <c r="AQ159" s="1">
        <f t="shared" si="47"/>
        <v>20</v>
      </c>
      <c r="AR159" s="1">
        <f t="shared" si="60"/>
        <v>0</v>
      </c>
    </row>
    <row r="160" spans="1:44" x14ac:dyDescent="0.3">
      <c r="A160" s="1">
        <v>25221</v>
      </c>
      <c r="B160" s="1" t="s">
        <v>259</v>
      </c>
      <c r="C160" s="3" t="s">
        <v>261</v>
      </c>
      <c r="D160" s="4">
        <v>1100</v>
      </c>
      <c r="E160" s="24">
        <f>_xlfn.XLOOKUP(A160,[1]PONCEBLANC!$Q:$Q,[1]PONCEBLANC!$J:$J,100,0)</f>
        <v>100</v>
      </c>
      <c r="F160" s="2" t="s">
        <v>153</v>
      </c>
      <c r="G160" s="2" t="s">
        <v>450</v>
      </c>
      <c r="H160" s="2">
        <v>45967</v>
      </c>
      <c r="I160" s="2">
        <v>45967</v>
      </c>
      <c r="J160" s="2">
        <v>46002</v>
      </c>
      <c r="K160" s="2">
        <v>46006</v>
      </c>
      <c r="L160" s="2">
        <v>46035</v>
      </c>
      <c r="M160" s="2">
        <v>45994</v>
      </c>
      <c r="N160" s="2">
        <v>46051</v>
      </c>
      <c r="P160" s="2">
        <v>46045</v>
      </c>
      <c r="Q160" s="2">
        <v>46044</v>
      </c>
      <c r="R160" s="2">
        <v>46073</v>
      </c>
      <c r="S160" s="2">
        <v>46073</v>
      </c>
      <c r="T160" s="2">
        <v>46073</v>
      </c>
      <c r="U160" s="1">
        <v>1</v>
      </c>
      <c r="Y160" s="1" t="str">
        <f t="shared" si="48"/>
        <v>DATE MANQUANTE</v>
      </c>
      <c r="Z160" s="1" t="str">
        <f t="shared" si="49"/>
        <v>DATE MANQUANTE</v>
      </c>
      <c r="AA160" s="1">
        <f t="shared" si="42"/>
        <v>76</v>
      </c>
      <c r="AB160" s="1">
        <f t="shared" si="43"/>
        <v>76</v>
      </c>
      <c r="AC160" s="1">
        <f t="shared" si="44"/>
        <v>0</v>
      </c>
      <c r="AD160" s="1">
        <f t="shared" si="50"/>
        <v>56</v>
      </c>
      <c r="AE160" s="1">
        <f t="shared" si="45"/>
        <v>0</v>
      </c>
      <c r="AF160" s="1">
        <f t="shared" si="51"/>
        <v>25</v>
      </c>
      <c r="AG160" s="1">
        <f t="shared" si="52"/>
        <v>31</v>
      </c>
      <c r="AH160" s="1">
        <f t="shared" si="46"/>
        <v>55</v>
      </c>
      <c r="AI160" s="1">
        <f t="shared" si="53"/>
        <v>60</v>
      </c>
      <c r="AJ160" s="1">
        <f t="shared" si="54"/>
        <v>19</v>
      </c>
      <c r="AK160" s="1" t="str">
        <f t="shared" si="55"/>
        <v>PAS DE DATE CARTON</v>
      </c>
      <c r="AL160" s="1">
        <f t="shared" si="56"/>
        <v>27</v>
      </c>
      <c r="AM160" s="1">
        <f t="shared" si="57"/>
        <v>48</v>
      </c>
      <c r="AN160" s="1">
        <f t="shared" si="58"/>
        <v>12</v>
      </c>
      <c r="AO160" s="1">
        <f t="shared" si="41"/>
        <v>-7</v>
      </c>
      <c r="AP160" s="1">
        <f t="shared" si="59"/>
        <v>1</v>
      </c>
      <c r="AQ160" s="1">
        <f t="shared" si="47"/>
        <v>20</v>
      </c>
      <c r="AR160" s="1">
        <f t="shared" si="60"/>
        <v>0</v>
      </c>
    </row>
    <row r="161" spans="1:44" x14ac:dyDescent="0.3">
      <c r="A161" s="1">
        <v>25222</v>
      </c>
      <c r="B161" s="1" t="s">
        <v>262</v>
      </c>
      <c r="C161" s="3" t="s">
        <v>263</v>
      </c>
      <c r="D161" s="4">
        <v>5000</v>
      </c>
      <c r="E161" s="24">
        <f>_xlfn.XLOOKUP(A161,[1]PONCEBLANC!$Q:$Q,[1]PONCEBLANC!$J:$J,100,0)</f>
        <v>100</v>
      </c>
      <c r="F161" s="2" t="s">
        <v>307</v>
      </c>
      <c r="G161" s="2" t="s">
        <v>450</v>
      </c>
      <c r="H161" s="2">
        <v>45968</v>
      </c>
      <c r="I161" s="2">
        <v>45978</v>
      </c>
      <c r="M161" s="2">
        <v>45993</v>
      </c>
      <c r="O161" s="2">
        <v>45995</v>
      </c>
      <c r="Y161" s="1" t="str">
        <f t="shared" si="48"/>
        <v>DATE MANQUANTE</v>
      </c>
      <c r="Z161" s="1" t="str">
        <f t="shared" si="49"/>
        <v>DATE MANQUANTE</v>
      </c>
      <c r="AA161" s="1" t="str">
        <f t="shared" si="42"/>
        <v>NON LIVRE</v>
      </c>
      <c r="AB161" s="1" t="str">
        <f t="shared" si="43"/>
        <v>NON LIVRE</v>
      </c>
      <c r="AC161" s="1" t="str">
        <f t="shared" si="44"/>
        <v>NON LIVRE</v>
      </c>
      <c r="AD161" s="1" t="str">
        <f t="shared" si="50"/>
        <v>NON LIVRE</v>
      </c>
      <c r="AE161" s="1" t="str">
        <f t="shared" si="45"/>
        <v>NON LIVRE</v>
      </c>
      <c r="AF161" s="1" t="str">
        <f t="shared" si="51"/>
        <v>NON LIVRE</v>
      </c>
      <c r="AG161" s="1" t="str">
        <f t="shared" si="52"/>
        <v>NON LIVRE</v>
      </c>
      <c r="AH161" s="1" t="str">
        <f t="shared" si="46"/>
        <v>NON LIVRE</v>
      </c>
      <c r="AI161" s="1" t="str">
        <f t="shared" si="53"/>
        <v>NON LIVRE</v>
      </c>
      <c r="AJ161" s="1" t="str">
        <f t="shared" si="54"/>
        <v>NON LIVRE</v>
      </c>
      <c r="AK161" s="1" t="str">
        <f t="shared" si="55"/>
        <v>NON LIVRE</v>
      </c>
      <c r="AL161" s="1" t="str">
        <f t="shared" si="56"/>
        <v>NON LIVRE</v>
      </c>
      <c r="AM161" s="1" t="str">
        <f t="shared" si="57"/>
        <v>NON LIVRE</v>
      </c>
      <c r="AN161" s="1" t="str">
        <f t="shared" si="58"/>
        <v>NON LIVRE</v>
      </c>
      <c r="AO161" s="1" t="str">
        <f t="shared" si="41"/>
        <v>NON LIVRE</v>
      </c>
      <c r="AP161" s="1" t="str">
        <f t="shared" si="59"/>
        <v>NON LIVRE</v>
      </c>
      <c r="AQ161" s="1" t="str">
        <f t="shared" si="47"/>
        <v>NON LIVRE</v>
      </c>
      <c r="AR161" s="1" t="str">
        <f t="shared" si="60"/>
        <v>NON LIVRE</v>
      </c>
    </row>
    <row r="162" spans="1:44" x14ac:dyDescent="0.3">
      <c r="A162" s="1">
        <v>25223</v>
      </c>
      <c r="B162" s="1" t="s">
        <v>264</v>
      </c>
      <c r="D162" s="4">
        <v>3300</v>
      </c>
      <c r="E162" s="24">
        <f>_xlfn.XLOOKUP(A162,[1]PONCEBLANC!$Q:$Q,[1]PONCEBLANC!$J:$J,100,0)</f>
        <v>100</v>
      </c>
      <c r="G162" s="2" t="s">
        <v>450</v>
      </c>
      <c r="H162" s="2">
        <v>45968</v>
      </c>
      <c r="J162" s="2">
        <v>45981</v>
      </c>
      <c r="P162" s="2">
        <v>45989</v>
      </c>
      <c r="R162" s="2">
        <v>46037</v>
      </c>
      <c r="S162" s="2">
        <v>46017</v>
      </c>
      <c r="T162" s="2">
        <v>46052</v>
      </c>
      <c r="U162" s="1">
        <v>2</v>
      </c>
      <c r="Y162" s="1" t="str">
        <f t="shared" si="48"/>
        <v>DATE MANQUANTE</v>
      </c>
      <c r="Z162" s="1" t="str">
        <f t="shared" si="49"/>
        <v>DATE MANQUANTE</v>
      </c>
      <c r="AA162" s="1">
        <f t="shared" si="42"/>
        <v>60</v>
      </c>
      <c r="AB162" s="1">
        <f t="shared" si="43"/>
        <v>35</v>
      </c>
      <c r="AC162" s="1">
        <f t="shared" si="44"/>
        <v>-16</v>
      </c>
      <c r="AD162" s="1">
        <f t="shared" si="50"/>
        <v>15</v>
      </c>
      <c r="AE162" s="1" t="str">
        <f t="shared" si="45"/>
        <v>PAS DE COMMANDE MATIERE</v>
      </c>
      <c r="AF162" s="1">
        <f t="shared" si="51"/>
        <v>32843</v>
      </c>
      <c r="AG162" s="1">
        <f t="shared" si="52"/>
        <v>6</v>
      </c>
      <c r="AH162" s="1" t="str">
        <f t="shared" si="46"/>
        <v>PAS DE DEPART TIRAGES OU ACHATS</v>
      </c>
      <c r="AI162" s="1" t="str">
        <f t="shared" si="53"/>
        <v>PAS DE DATE IMPRESSION</v>
      </c>
      <c r="AJ162" s="1" t="str">
        <f t="shared" si="54"/>
        <v>PAS DE DATE PAPIER</v>
      </c>
      <c r="AK162" s="1" t="str">
        <f t="shared" si="55"/>
        <v>PAS DE DATE CARTON</v>
      </c>
      <c r="AL162" s="1" t="str">
        <f t="shared" si="56"/>
        <v>PAS DE DATE FICHIER</v>
      </c>
      <c r="AM162" s="1" t="str">
        <f t="shared" si="57"/>
        <v>PAS DE DATE VALIDATION MODELE CLIENT</v>
      </c>
      <c r="AN162" s="1" t="str">
        <f t="shared" si="58"/>
        <v>PAS DE DATE IMPRESSION</v>
      </c>
      <c r="AO162" s="1" t="str">
        <f t="shared" si="41"/>
        <v>PAS D'IMPRESSION</v>
      </c>
      <c r="AP162" s="1">
        <f t="shared" si="59"/>
        <v>0</v>
      </c>
      <c r="AQ162" s="1">
        <f t="shared" si="47"/>
        <v>20</v>
      </c>
      <c r="AR162" s="1" t="str">
        <f t="shared" si="60"/>
        <v>PAS DE DATE VALIDATION MODELE CLIENT</v>
      </c>
    </row>
    <row r="163" spans="1:44" x14ac:dyDescent="0.3">
      <c r="A163" s="1">
        <v>25224</v>
      </c>
      <c r="B163" s="1" t="s">
        <v>35</v>
      </c>
      <c r="C163" s="3" t="s">
        <v>265</v>
      </c>
      <c r="D163" s="4">
        <v>500</v>
      </c>
      <c r="E163" s="24">
        <f>_xlfn.XLOOKUP(A163,[1]PONCEBLANC!$Q:$Q,[1]PONCEBLANC!$J:$J,100,0)</f>
        <v>3895</v>
      </c>
      <c r="F163" s="2" t="s">
        <v>165</v>
      </c>
      <c r="G163" s="2">
        <v>45958</v>
      </c>
      <c r="H163" s="2">
        <v>45978</v>
      </c>
      <c r="Y163" s="1" t="str">
        <f t="shared" si="48"/>
        <v>DATE MANQUANTE</v>
      </c>
      <c r="Z163" s="1">
        <f t="shared" si="49"/>
        <v>14</v>
      </c>
      <c r="AA163" s="1" t="str">
        <f t="shared" si="42"/>
        <v>NON LIVRE</v>
      </c>
      <c r="AB163" s="1" t="str">
        <f t="shared" si="43"/>
        <v>NON LIVRE</v>
      </c>
      <c r="AC163" s="1" t="str">
        <f t="shared" si="44"/>
        <v>NON LIVRE</v>
      </c>
      <c r="AD163" s="1" t="str">
        <f t="shared" si="50"/>
        <v>NON LIVRE</v>
      </c>
      <c r="AE163" s="1" t="str">
        <f t="shared" si="45"/>
        <v>NON LIVRE</v>
      </c>
      <c r="AF163" s="1" t="str">
        <f t="shared" si="51"/>
        <v>NON LIVRE</v>
      </c>
      <c r="AG163" s="1" t="str">
        <f t="shared" si="52"/>
        <v>NON LIVRE</v>
      </c>
      <c r="AH163" s="1" t="str">
        <f t="shared" si="46"/>
        <v>NON LIVRE</v>
      </c>
      <c r="AI163" s="1" t="str">
        <f t="shared" si="53"/>
        <v>NON LIVRE</v>
      </c>
      <c r="AJ163" s="1" t="str">
        <f t="shared" si="54"/>
        <v>NON LIVRE</v>
      </c>
      <c r="AK163" s="1" t="str">
        <f t="shared" si="55"/>
        <v>NON LIVRE</v>
      </c>
      <c r="AL163" s="1" t="str">
        <f t="shared" si="56"/>
        <v>NON LIVRE</v>
      </c>
      <c r="AM163" s="1" t="str">
        <f t="shared" si="57"/>
        <v>NON LIVRE</v>
      </c>
      <c r="AN163" s="1" t="str">
        <f t="shared" si="58"/>
        <v>NON LIVRE</v>
      </c>
      <c r="AO163" s="1" t="str">
        <f t="shared" si="41"/>
        <v>NON LIVRE</v>
      </c>
      <c r="AP163" s="1" t="str">
        <f t="shared" si="59"/>
        <v>NON LIVRE</v>
      </c>
      <c r="AQ163" s="1" t="str">
        <f t="shared" si="47"/>
        <v>NON LIVRE</v>
      </c>
      <c r="AR163" s="1" t="str">
        <f t="shared" si="60"/>
        <v>NON LIVRE</v>
      </c>
    </row>
    <row r="164" spans="1:44" x14ac:dyDescent="0.3">
      <c r="A164" s="1">
        <v>25225</v>
      </c>
      <c r="B164" s="1" t="s">
        <v>245</v>
      </c>
      <c r="C164" s="3" t="s">
        <v>266</v>
      </c>
      <c r="D164" s="4">
        <v>1000</v>
      </c>
      <c r="E164" s="24">
        <f>_xlfn.XLOOKUP(A164,[1]PONCEBLANC!$Q:$Q,[1]PONCEBLANC!$J:$J,100,0)</f>
        <v>8490</v>
      </c>
      <c r="F164" s="2" t="s">
        <v>305</v>
      </c>
      <c r="G164" s="2">
        <v>45945</v>
      </c>
      <c r="H164" s="2">
        <v>45978</v>
      </c>
      <c r="I164" s="2">
        <v>45981</v>
      </c>
      <c r="J164" s="2">
        <v>46002</v>
      </c>
      <c r="K164" s="2">
        <v>45995</v>
      </c>
      <c r="N164" s="2">
        <v>46001</v>
      </c>
      <c r="O164" s="2">
        <v>46029</v>
      </c>
      <c r="Y164" s="1" t="str">
        <f t="shared" si="48"/>
        <v>DATE MANQUANTE</v>
      </c>
      <c r="Z164" s="1">
        <f t="shared" si="49"/>
        <v>23</v>
      </c>
      <c r="AA164" s="1" t="str">
        <f t="shared" si="42"/>
        <v>NON LIVRE</v>
      </c>
      <c r="AB164" s="1" t="str">
        <f t="shared" si="43"/>
        <v>NON LIVRE</v>
      </c>
      <c r="AC164" s="1" t="str">
        <f t="shared" si="44"/>
        <v>NON LIVRE</v>
      </c>
      <c r="AD164" s="1" t="str">
        <f t="shared" si="50"/>
        <v>NON LIVRE</v>
      </c>
      <c r="AE164" s="1" t="str">
        <f t="shared" si="45"/>
        <v>NON LIVRE</v>
      </c>
      <c r="AF164" s="1" t="str">
        <f t="shared" si="51"/>
        <v>NON LIVRE</v>
      </c>
      <c r="AG164" s="1" t="str">
        <f t="shared" si="52"/>
        <v>NON LIVRE</v>
      </c>
      <c r="AH164" s="1" t="str">
        <f t="shared" si="46"/>
        <v>NON LIVRE</v>
      </c>
      <c r="AI164" s="1" t="str">
        <f t="shared" si="53"/>
        <v>NON LIVRE</v>
      </c>
      <c r="AJ164" s="1" t="str">
        <f t="shared" si="54"/>
        <v>NON LIVRE</v>
      </c>
      <c r="AK164" s="1" t="str">
        <f t="shared" si="55"/>
        <v>NON LIVRE</v>
      </c>
      <c r="AL164" s="1" t="str">
        <f t="shared" si="56"/>
        <v>NON LIVRE</v>
      </c>
      <c r="AM164" s="1" t="str">
        <f t="shared" si="57"/>
        <v>NON LIVRE</v>
      </c>
      <c r="AN164" s="1" t="str">
        <f t="shared" si="58"/>
        <v>NON LIVRE</v>
      </c>
      <c r="AO164" s="1" t="str">
        <f t="shared" si="41"/>
        <v>NON LIVRE</v>
      </c>
      <c r="AP164" s="1" t="str">
        <f t="shared" si="59"/>
        <v>NON LIVRE</v>
      </c>
      <c r="AQ164" s="1" t="str">
        <f t="shared" si="47"/>
        <v>NON LIVRE</v>
      </c>
      <c r="AR164" s="1" t="str">
        <f t="shared" si="60"/>
        <v>NON LIVRE</v>
      </c>
    </row>
    <row r="165" spans="1:44" x14ac:dyDescent="0.3">
      <c r="A165" s="1">
        <v>25226</v>
      </c>
      <c r="B165" s="1" t="s">
        <v>245</v>
      </c>
      <c r="C165" s="3" t="s">
        <v>267</v>
      </c>
      <c r="D165" s="4">
        <v>2000</v>
      </c>
      <c r="E165" s="24">
        <f>_xlfn.XLOOKUP(A165,[1]PONCEBLANC!$Q:$Q,[1]PONCEBLANC!$J:$J,100,0)</f>
        <v>9960</v>
      </c>
      <c r="F165" s="2" t="s">
        <v>306</v>
      </c>
      <c r="G165" s="2">
        <v>45945</v>
      </c>
      <c r="H165" s="2">
        <v>45978</v>
      </c>
      <c r="I165" s="2">
        <v>45981</v>
      </c>
      <c r="J165" s="2">
        <v>46002</v>
      </c>
      <c r="K165" s="2">
        <v>45995</v>
      </c>
      <c r="N165" s="2">
        <v>46001</v>
      </c>
      <c r="O165" s="2">
        <v>46029</v>
      </c>
      <c r="Y165" s="1" t="str">
        <f t="shared" si="48"/>
        <v>DATE MANQUANTE</v>
      </c>
      <c r="Z165" s="1">
        <f t="shared" si="49"/>
        <v>23</v>
      </c>
      <c r="AA165" s="1" t="str">
        <f t="shared" si="42"/>
        <v>NON LIVRE</v>
      </c>
      <c r="AB165" s="1" t="str">
        <f t="shared" si="43"/>
        <v>NON LIVRE</v>
      </c>
      <c r="AC165" s="1" t="str">
        <f t="shared" si="44"/>
        <v>NON LIVRE</v>
      </c>
      <c r="AD165" s="1" t="str">
        <f t="shared" si="50"/>
        <v>NON LIVRE</v>
      </c>
      <c r="AE165" s="1" t="str">
        <f t="shared" si="45"/>
        <v>NON LIVRE</v>
      </c>
      <c r="AF165" s="1" t="str">
        <f t="shared" si="51"/>
        <v>NON LIVRE</v>
      </c>
      <c r="AG165" s="1" t="str">
        <f t="shared" si="52"/>
        <v>NON LIVRE</v>
      </c>
      <c r="AH165" s="1" t="str">
        <f t="shared" si="46"/>
        <v>NON LIVRE</v>
      </c>
      <c r="AI165" s="1" t="str">
        <f t="shared" si="53"/>
        <v>NON LIVRE</v>
      </c>
      <c r="AJ165" s="1" t="str">
        <f t="shared" si="54"/>
        <v>NON LIVRE</v>
      </c>
      <c r="AK165" s="1" t="str">
        <f t="shared" si="55"/>
        <v>NON LIVRE</v>
      </c>
      <c r="AL165" s="1" t="str">
        <f t="shared" si="56"/>
        <v>NON LIVRE</v>
      </c>
      <c r="AM165" s="1" t="str">
        <f t="shared" si="57"/>
        <v>NON LIVRE</v>
      </c>
      <c r="AN165" s="1" t="str">
        <f t="shared" si="58"/>
        <v>NON LIVRE</v>
      </c>
      <c r="AO165" s="1" t="str">
        <f t="shared" si="41"/>
        <v>NON LIVRE</v>
      </c>
      <c r="AP165" s="1" t="str">
        <f t="shared" si="59"/>
        <v>NON LIVRE</v>
      </c>
      <c r="AQ165" s="1" t="str">
        <f t="shared" si="47"/>
        <v>NON LIVRE</v>
      </c>
      <c r="AR165" s="1" t="str">
        <f t="shared" si="60"/>
        <v>NON LIVRE</v>
      </c>
    </row>
    <row r="166" spans="1:44" x14ac:dyDescent="0.3">
      <c r="A166" s="1">
        <v>25227</v>
      </c>
      <c r="B166" s="1" t="s">
        <v>245</v>
      </c>
      <c r="C166" s="3" t="s">
        <v>268</v>
      </c>
      <c r="D166" s="4">
        <v>1000</v>
      </c>
      <c r="E166" s="24">
        <f>_xlfn.XLOOKUP(A166,[1]PONCEBLANC!$Q:$Q,[1]PONCEBLANC!$J:$J,100,0)</f>
        <v>9000</v>
      </c>
      <c r="F166" s="2" t="s">
        <v>149</v>
      </c>
      <c r="G166" s="2">
        <v>45947</v>
      </c>
      <c r="H166" s="2">
        <v>45978</v>
      </c>
      <c r="I166" s="2">
        <v>45993</v>
      </c>
      <c r="J166" s="2">
        <v>46001</v>
      </c>
      <c r="K166" s="2">
        <v>46000</v>
      </c>
      <c r="N166" s="2">
        <v>46002</v>
      </c>
      <c r="O166" s="2">
        <v>46029</v>
      </c>
      <c r="Y166" s="1" t="str">
        <f t="shared" si="48"/>
        <v>DATE MANQUANTE</v>
      </c>
      <c r="Z166" s="1">
        <f t="shared" si="49"/>
        <v>21</v>
      </c>
      <c r="AA166" s="1" t="str">
        <f t="shared" si="42"/>
        <v>NON LIVRE</v>
      </c>
      <c r="AB166" s="1" t="str">
        <f t="shared" si="43"/>
        <v>NON LIVRE</v>
      </c>
      <c r="AC166" s="1" t="str">
        <f t="shared" si="44"/>
        <v>NON LIVRE</v>
      </c>
      <c r="AD166" s="1" t="str">
        <f t="shared" si="50"/>
        <v>NON LIVRE</v>
      </c>
      <c r="AE166" s="1" t="str">
        <f t="shared" si="45"/>
        <v>NON LIVRE</v>
      </c>
      <c r="AF166" s="1" t="str">
        <f t="shared" si="51"/>
        <v>NON LIVRE</v>
      </c>
      <c r="AG166" s="1" t="str">
        <f t="shared" si="52"/>
        <v>NON LIVRE</v>
      </c>
      <c r="AH166" s="1" t="str">
        <f t="shared" si="46"/>
        <v>NON LIVRE</v>
      </c>
      <c r="AI166" s="1" t="str">
        <f t="shared" si="53"/>
        <v>NON LIVRE</v>
      </c>
      <c r="AJ166" s="1" t="str">
        <f t="shared" si="54"/>
        <v>NON LIVRE</v>
      </c>
      <c r="AK166" s="1" t="str">
        <f t="shared" si="55"/>
        <v>NON LIVRE</v>
      </c>
      <c r="AL166" s="1" t="str">
        <f t="shared" si="56"/>
        <v>NON LIVRE</v>
      </c>
      <c r="AM166" s="1" t="str">
        <f t="shared" si="57"/>
        <v>NON LIVRE</v>
      </c>
      <c r="AN166" s="1" t="str">
        <f t="shared" si="58"/>
        <v>NON LIVRE</v>
      </c>
      <c r="AO166" s="1" t="str">
        <f t="shared" si="41"/>
        <v>NON LIVRE</v>
      </c>
      <c r="AP166" s="1" t="str">
        <f t="shared" si="59"/>
        <v>NON LIVRE</v>
      </c>
      <c r="AQ166" s="1" t="str">
        <f t="shared" si="47"/>
        <v>NON LIVRE</v>
      </c>
      <c r="AR166" s="1" t="str">
        <f t="shared" si="60"/>
        <v>NON LIVRE</v>
      </c>
    </row>
    <row r="167" spans="1:44" x14ac:dyDescent="0.3">
      <c r="A167" s="1">
        <v>25228</v>
      </c>
      <c r="B167" s="1" t="s">
        <v>60</v>
      </c>
      <c r="C167" s="3" t="s">
        <v>269</v>
      </c>
      <c r="D167" s="4">
        <v>120</v>
      </c>
      <c r="E167" s="24">
        <f>_xlfn.XLOOKUP(A167,[1]PONCEBLANC!$Q:$Q,[1]PONCEBLANC!$J:$J,100,0)</f>
        <v>13792.5</v>
      </c>
      <c r="F167" s="2" t="s">
        <v>179</v>
      </c>
      <c r="G167" s="2">
        <v>45958</v>
      </c>
      <c r="H167" s="2">
        <v>45978</v>
      </c>
      <c r="J167" s="2">
        <v>45974</v>
      </c>
      <c r="K167" s="2">
        <v>46008</v>
      </c>
      <c r="L167" s="2">
        <v>46003</v>
      </c>
      <c r="N167" s="2">
        <v>46015</v>
      </c>
      <c r="O167" s="2" t="s">
        <v>199</v>
      </c>
      <c r="P167" s="2">
        <v>46031</v>
      </c>
      <c r="Q167" s="2">
        <v>46031</v>
      </c>
      <c r="R167" s="2">
        <v>46045</v>
      </c>
      <c r="S167" s="2">
        <v>46045</v>
      </c>
      <c r="T167" s="2">
        <v>46045</v>
      </c>
      <c r="U167" s="1">
        <v>2</v>
      </c>
      <c r="Y167" s="1">
        <f t="shared" si="48"/>
        <v>63</v>
      </c>
      <c r="Z167" s="1">
        <f t="shared" si="49"/>
        <v>14</v>
      </c>
      <c r="AA167" s="1">
        <f t="shared" si="42"/>
        <v>49</v>
      </c>
      <c r="AB167" s="1">
        <f t="shared" si="43"/>
        <v>49</v>
      </c>
      <c r="AC167" s="1">
        <f t="shared" si="44"/>
        <v>0</v>
      </c>
      <c r="AD167" s="1">
        <f t="shared" si="50"/>
        <v>39</v>
      </c>
      <c r="AE167" s="1" t="str">
        <f t="shared" si="45"/>
        <v>PAS DE COMMANDE MATIERE</v>
      </c>
      <c r="AF167" s="1">
        <f t="shared" si="51"/>
        <v>32838</v>
      </c>
      <c r="AG167" s="1">
        <f t="shared" si="52"/>
        <v>41</v>
      </c>
      <c r="AH167" s="1">
        <f t="shared" si="46"/>
        <v>39</v>
      </c>
      <c r="AI167" s="1">
        <f t="shared" si="53"/>
        <v>27</v>
      </c>
      <c r="AJ167" s="1" t="str">
        <f t="shared" si="54"/>
        <v>PAS DE DATE PAPIER</v>
      </c>
      <c r="AK167" s="1" t="str">
        <f t="shared" si="55"/>
        <v>STOCK</v>
      </c>
      <c r="AL167" s="1">
        <f t="shared" si="56"/>
        <v>22</v>
      </c>
      <c r="AM167" s="1">
        <f t="shared" si="57"/>
        <v>19</v>
      </c>
      <c r="AN167" s="1">
        <f t="shared" si="58"/>
        <v>5</v>
      </c>
      <c r="AO167" s="1">
        <f t="shared" ref="AO167:AO230" si="61">IFERROR(IF($T167="","NON LIVRE",IF($N167="","PAS D'IMPRESSION",IF($Q167="","PAS DE DATE DEPART EN PROD TIRAGES ET ACHATS",NETWORKDAYS($N167,$Q167)-1))),$Q167)</f>
        <v>12</v>
      </c>
      <c r="AP167" s="1">
        <f t="shared" si="59"/>
        <v>0</v>
      </c>
      <c r="AQ167" s="1">
        <f t="shared" si="47"/>
        <v>10</v>
      </c>
      <c r="AR167" s="1">
        <f t="shared" si="60"/>
        <v>0</v>
      </c>
    </row>
    <row r="168" spans="1:44" x14ac:dyDescent="0.3">
      <c r="A168" s="1">
        <v>25229</v>
      </c>
      <c r="B168" s="1" t="s">
        <v>270</v>
      </c>
      <c r="C168" s="3" t="s">
        <v>271</v>
      </c>
      <c r="D168" s="4">
        <f>80+120+120+30</f>
        <v>350</v>
      </c>
      <c r="E168" s="24">
        <f>_xlfn.XLOOKUP(A168,[1]PONCEBLANC!$Q:$Q,[1]PONCEBLANC!$J:$J,100,0)</f>
        <v>12345</v>
      </c>
      <c r="F168" s="2" t="s">
        <v>304</v>
      </c>
      <c r="G168" s="2">
        <v>45896</v>
      </c>
      <c r="H168" s="2">
        <v>45978</v>
      </c>
      <c r="I168" s="2" t="s">
        <v>369</v>
      </c>
      <c r="J168" s="2">
        <v>45987</v>
      </c>
      <c r="K168" s="2">
        <v>46002</v>
      </c>
      <c r="L168" s="2" t="s">
        <v>315</v>
      </c>
      <c r="N168" s="2">
        <v>46000</v>
      </c>
      <c r="O168" s="2" t="s">
        <v>199</v>
      </c>
      <c r="P168" s="2">
        <v>46042</v>
      </c>
      <c r="Q168" s="2">
        <v>46009</v>
      </c>
      <c r="R168" s="2">
        <v>46052</v>
      </c>
      <c r="S168" s="2">
        <v>46059</v>
      </c>
      <c r="T168" s="2">
        <v>46059</v>
      </c>
      <c r="U168" s="1">
        <v>1</v>
      </c>
      <c r="Y168" s="1">
        <f t="shared" si="48"/>
        <v>117</v>
      </c>
      <c r="Z168" s="1">
        <f t="shared" si="49"/>
        <v>58</v>
      </c>
      <c r="AA168" s="1">
        <f t="shared" si="42"/>
        <v>59</v>
      </c>
      <c r="AB168" s="1">
        <f t="shared" si="43"/>
        <v>59</v>
      </c>
      <c r="AC168" s="1">
        <f t="shared" si="44"/>
        <v>5</v>
      </c>
      <c r="AD168" s="1">
        <f t="shared" si="50"/>
        <v>46</v>
      </c>
      <c r="AE168" s="1" t="str">
        <f t="shared" si="45"/>
        <v>DEVIS</v>
      </c>
      <c r="AF168" s="1">
        <f t="shared" si="51"/>
        <v>45987</v>
      </c>
      <c r="AG168" s="1">
        <f t="shared" si="52"/>
        <v>39</v>
      </c>
      <c r="AH168" s="1">
        <f t="shared" si="46"/>
        <v>23</v>
      </c>
      <c r="AI168" s="1">
        <f t="shared" si="53"/>
        <v>16</v>
      </c>
      <c r="AJ168" s="1" t="str">
        <f t="shared" si="54"/>
        <v>PAS DE DATE PAPIER</v>
      </c>
      <c r="AK168" s="1" t="str">
        <f t="shared" si="55"/>
        <v>STOCK</v>
      </c>
      <c r="AL168" s="1">
        <f t="shared" si="56"/>
        <v>18</v>
      </c>
      <c r="AM168" s="1" t="str">
        <f t="shared" si="57"/>
        <v>ANC FAB</v>
      </c>
      <c r="AN168" s="1">
        <f t="shared" si="58"/>
        <v>-4</v>
      </c>
      <c r="AO168" s="1">
        <f t="shared" si="61"/>
        <v>7</v>
      </c>
      <c r="AP168" s="1">
        <f t="shared" si="59"/>
        <v>23</v>
      </c>
      <c r="AQ168" s="1">
        <f t="shared" si="47"/>
        <v>13</v>
      </c>
      <c r="AR168" s="1">
        <f t="shared" si="60"/>
        <v>0</v>
      </c>
    </row>
    <row r="169" spans="1:44" x14ac:dyDescent="0.3">
      <c r="A169" s="1">
        <v>25230</v>
      </c>
      <c r="B169" s="1" t="s">
        <v>220</v>
      </c>
      <c r="C169" s="3" t="s">
        <v>54</v>
      </c>
      <c r="D169" s="4">
        <v>400</v>
      </c>
      <c r="E169" s="24">
        <f>_xlfn.XLOOKUP(A169,[1]PONCEBLANC!$Q:$Q,[1]PONCEBLANC!$J:$J,100,0)</f>
        <v>23280</v>
      </c>
      <c r="F169" s="2" t="s">
        <v>303</v>
      </c>
      <c r="G169" s="2">
        <v>45700</v>
      </c>
      <c r="H169" s="2">
        <v>45978</v>
      </c>
      <c r="Y169" s="1" t="str">
        <f t="shared" si="48"/>
        <v>DATE MANQUANTE</v>
      </c>
      <c r="Z169" s="1">
        <f t="shared" si="49"/>
        <v>198</v>
      </c>
      <c r="AA169" s="1" t="str">
        <f t="shared" si="42"/>
        <v>NON LIVRE</v>
      </c>
      <c r="AB169" s="1" t="str">
        <f t="shared" si="43"/>
        <v>NON LIVRE</v>
      </c>
      <c r="AC169" s="1" t="str">
        <f t="shared" si="44"/>
        <v>NON LIVRE</v>
      </c>
      <c r="AD169" s="1" t="str">
        <f t="shared" si="50"/>
        <v>NON LIVRE</v>
      </c>
      <c r="AE169" s="1" t="str">
        <f t="shared" si="45"/>
        <v>NON LIVRE</v>
      </c>
      <c r="AF169" s="1" t="str">
        <f t="shared" si="51"/>
        <v>NON LIVRE</v>
      </c>
      <c r="AG169" s="1" t="str">
        <f t="shared" si="52"/>
        <v>NON LIVRE</v>
      </c>
      <c r="AH169" s="1" t="str">
        <f t="shared" si="46"/>
        <v>NON LIVRE</v>
      </c>
      <c r="AI169" s="1" t="str">
        <f t="shared" si="53"/>
        <v>NON LIVRE</v>
      </c>
      <c r="AJ169" s="1" t="str">
        <f t="shared" si="54"/>
        <v>NON LIVRE</v>
      </c>
      <c r="AK169" s="1" t="str">
        <f t="shared" si="55"/>
        <v>NON LIVRE</v>
      </c>
      <c r="AL169" s="1" t="str">
        <f t="shared" si="56"/>
        <v>NON LIVRE</v>
      </c>
      <c r="AM169" s="1" t="str">
        <f t="shared" si="57"/>
        <v>NON LIVRE</v>
      </c>
      <c r="AN169" s="1" t="str">
        <f t="shared" si="58"/>
        <v>NON LIVRE</v>
      </c>
      <c r="AO169" s="1" t="str">
        <f t="shared" si="61"/>
        <v>NON LIVRE</v>
      </c>
      <c r="AP169" s="1" t="str">
        <f t="shared" si="59"/>
        <v>NON LIVRE</v>
      </c>
      <c r="AQ169" s="1" t="str">
        <f t="shared" si="47"/>
        <v>NON LIVRE</v>
      </c>
      <c r="AR169" s="1" t="str">
        <f t="shared" si="60"/>
        <v>NON LIVRE</v>
      </c>
    </row>
    <row r="170" spans="1:44" x14ac:dyDescent="0.3">
      <c r="A170" s="1">
        <v>25231</v>
      </c>
      <c r="B170" s="1" t="s">
        <v>73</v>
      </c>
      <c r="C170" s="3" t="s">
        <v>272</v>
      </c>
      <c r="D170" s="4" t="s">
        <v>273</v>
      </c>
      <c r="E170" s="24">
        <f>_xlfn.XLOOKUP(A170,[1]PONCEBLANC!$Q:$Q,[1]PONCEBLANC!$J:$J,100,0)</f>
        <v>100</v>
      </c>
      <c r="G170" s="2" t="s">
        <v>450</v>
      </c>
      <c r="H170" s="2">
        <v>45979</v>
      </c>
      <c r="I170" s="2">
        <v>45979</v>
      </c>
      <c r="J170" s="2">
        <v>45989</v>
      </c>
      <c r="L170" s="2" t="s">
        <v>315</v>
      </c>
      <c r="P170" s="2">
        <v>46003</v>
      </c>
      <c r="Q170" s="2">
        <v>46003</v>
      </c>
      <c r="R170" s="2">
        <v>46022</v>
      </c>
      <c r="S170" s="2">
        <v>46022</v>
      </c>
      <c r="T170" s="2">
        <v>46022</v>
      </c>
      <c r="U170" s="1">
        <v>1</v>
      </c>
      <c r="Y170" s="1" t="str">
        <f t="shared" si="48"/>
        <v>DATE MANQUANTE</v>
      </c>
      <c r="Z170" s="1" t="str">
        <f t="shared" si="49"/>
        <v>DATE MANQUANTE</v>
      </c>
      <c r="AA170" s="1">
        <f t="shared" si="42"/>
        <v>31</v>
      </c>
      <c r="AB170" s="1">
        <f t="shared" si="43"/>
        <v>31</v>
      </c>
      <c r="AC170" s="1">
        <f t="shared" si="44"/>
        <v>0</v>
      </c>
      <c r="AD170" s="1">
        <f t="shared" si="50"/>
        <v>18</v>
      </c>
      <c r="AE170" s="1">
        <f t="shared" si="45"/>
        <v>0</v>
      </c>
      <c r="AF170" s="1">
        <f t="shared" si="51"/>
        <v>8</v>
      </c>
      <c r="AG170" s="1">
        <f t="shared" si="52"/>
        <v>10</v>
      </c>
      <c r="AH170" s="1">
        <f t="shared" si="46"/>
        <v>18</v>
      </c>
      <c r="AI170" s="1" t="str">
        <f t="shared" si="53"/>
        <v>PAS DE DATE IMPRESSION</v>
      </c>
      <c r="AJ170" s="1" t="str">
        <f t="shared" si="54"/>
        <v>PAS DE DATE PAPIER</v>
      </c>
      <c r="AK170" s="1" t="str">
        <f t="shared" si="55"/>
        <v>PAS DE DATE CARTON</v>
      </c>
      <c r="AL170" s="1" t="str">
        <f t="shared" si="56"/>
        <v>PAS DE DATE FICHIER</v>
      </c>
      <c r="AM170" s="1" t="str">
        <f t="shared" si="57"/>
        <v>ANC FAB</v>
      </c>
      <c r="AN170" s="1" t="str">
        <f t="shared" si="58"/>
        <v>PAS DE DATE IMPRESSION</v>
      </c>
      <c r="AO170" s="1" t="str">
        <f t="shared" si="61"/>
        <v>PAS D'IMPRESSION</v>
      </c>
      <c r="AP170" s="1">
        <f t="shared" si="59"/>
        <v>0</v>
      </c>
      <c r="AQ170" s="1">
        <f t="shared" si="47"/>
        <v>13</v>
      </c>
      <c r="AR170" s="1">
        <f t="shared" si="60"/>
        <v>0</v>
      </c>
    </row>
    <row r="171" spans="1:44" x14ac:dyDescent="0.3">
      <c r="A171" s="1">
        <v>25232</v>
      </c>
      <c r="B171" s="1" t="s">
        <v>232</v>
      </c>
      <c r="C171" s="3" t="s">
        <v>274</v>
      </c>
      <c r="D171" s="4">
        <v>2578</v>
      </c>
      <c r="E171" s="24">
        <f>_xlfn.XLOOKUP(A171,[1]PONCEBLANC!$Q:$Q,[1]PONCEBLANC!$J:$J,100,0)</f>
        <v>72968.960000000006</v>
      </c>
      <c r="F171" s="2" t="s">
        <v>302</v>
      </c>
      <c r="G171" s="2">
        <v>45960</v>
      </c>
      <c r="H171" s="2">
        <v>45982</v>
      </c>
      <c r="I171" s="2">
        <v>45973</v>
      </c>
      <c r="J171" s="2">
        <v>46003</v>
      </c>
      <c r="K171" s="2">
        <v>46010</v>
      </c>
      <c r="L171" s="2" t="s">
        <v>315</v>
      </c>
      <c r="M171" s="2">
        <v>46013</v>
      </c>
      <c r="N171" s="2">
        <v>46037</v>
      </c>
      <c r="O171" s="2">
        <v>46029</v>
      </c>
      <c r="Y171" s="1" t="str">
        <f t="shared" si="48"/>
        <v>DATE MANQUANTE</v>
      </c>
      <c r="Z171" s="1">
        <f t="shared" si="49"/>
        <v>16</v>
      </c>
      <c r="AA171" s="1" t="str">
        <f t="shared" si="42"/>
        <v>NON LIVRE</v>
      </c>
      <c r="AB171" s="1" t="str">
        <f t="shared" si="43"/>
        <v>NON LIVRE</v>
      </c>
      <c r="AC171" s="1" t="str">
        <f t="shared" si="44"/>
        <v>NON LIVRE</v>
      </c>
      <c r="AD171" s="1" t="str">
        <f t="shared" si="50"/>
        <v>NON LIVRE</v>
      </c>
      <c r="AE171" s="1" t="str">
        <f t="shared" si="45"/>
        <v>NON LIVRE</v>
      </c>
      <c r="AF171" s="1" t="str">
        <f t="shared" si="51"/>
        <v>NON LIVRE</v>
      </c>
      <c r="AG171" s="1" t="str">
        <f t="shared" si="52"/>
        <v>NON LIVRE</v>
      </c>
      <c r="AH171" s="1" t="str">
        <f t="shared" si="46"/>
        <v>NON LIVRE</v>
      </c>
      <c r="AI171" s="1" t="str">
        <f t="shared" si="53"/>
        <v>NON LIVRE</v>
      </c>
      <c r="AJ171" s="1" t="str">
        <f t="shared" si="54"/>
        <v>NON LIVRE</v>
      </c>
      <c r="AK171" s="1" t="str">
        <f t="shared" si="55"/>
        <v>NON LIVRE</v>
      </c>
      <c r="AL171" s="1" t="str">
        <f t="shared" si="56"/>
        <v>NON LIVRE</v>
      </c>
      <c r="AM171" s="1" t="str">
        <f t="shared" si="57"/>
        <v>NON LIVRE</v>
      </c>
      <c r="AN171" s="1" t="str">
        <f t="shared" si="58"/>
        <v>NON LIVRE</v>
      </c>
      <c r="AO171" s="1" t="str">
        <f t="shared" si="61"/>
        <v>NON LIVRE</v>
      </c>
      <c r="AP171" s="1" t="str">
        <f t="shared" si="59"/>
        <v>NON LIVRE</v>
      </c>
      <c r="AQ171" s="1" t="str">
        <f t="shared" si="47"/>
        <v>NON LIVRE</v>
      </c>
      <c r="AR171" s="1" t="str">
        <f t="shared" si="60"/>
        <v>NON LIVRE</v>
      </c>
    </row>
    <row r="172" spans="1:44" x14ac:dyDescent="0.3">
      <c r="A172" s="1">
        <v>25233</v>
      </c>
      <c r="B172" s="1" t="s">
        <v>17</v>
      </c>
      <c r="C172" s="3" t="s">
        <v>275</v>
      </c>
      <c r="D172" s="4">
        <v>6000</v>
      </c>
      <c r="E172" s="24">
        <f>_xlfn.XLOOKUP(A172,[1]PONCEBLANC!$Q:$Q,[1]PONCEBLANC!$J:$J,100,0)</f>
        <v>31500</v>
      </c>
      <c r="F172" s="2" t="s">
        <v>136</v>
      </c>
      <c r="G172" s="2">
        <v>45971</v>
      </c>
      <c r="H172" s="2">
        <v>45985</v>
      </c>
      <c r="I172" s="2">
        <v>45987</v>
      </c>
      <c r="J172" s="2">
        <v>46052</v>
      </c>
      <c r="K172" s="2">
        <v>45995</v>
      </c>
      <c r="L172" s="2">
        <v>46014</v>
      </c>
      <c r="N172" s="2">
        <v>46029</v>
      </c>
      <c r="O172" s="2" t="s">
        <v>199</v>
      </c>
      <c r="P172" s="2">
        <v>46051</v>
      </c>
      <c r="Q172" s="2">
        <v>46038</v>
      </c>
      <c r="R172" s="2">
        <v>46066</v>
      </c>
      <c r="S172" s="2">
        <v>46066</v>
      </c>
      <c r="T172" s="2">
        <v>46094</v>
      </c>
      <c r="U172" s="1">
        <v>5</v>
      </c>
      <c r="Y172" s="1">
        <f t="shared" si="48"/>
        <v>89</v>
      </c>
      <c r="Z172" s="1">
        <f t="shared" si="49"/>
        <v>10</v>
      </c>
      <c r="AA172" s="1">
        <f t="shared" si="42"/>
        <v>79</v>
      </c>
      <c r="AB172" s="1">
        <f t="shared" si="43"/>
        <v>59</v>
      </c>
      <c r="AC172" s="1">
        <f t="shared" si="44"/>
        <v>0</v>
      </c>
      <c r="AD172" s="1">
        <f t="shared" si="50"/>
        <v>48</v>
      </c>
      <c r="AE172" s="1">
        <f t="shared" si="45"/>
        <v>2</v>
      </c>
      <c r="AF172" s="1">
        <f t="shared" si="51"/>
        <v>47</v>
      </c>
      <c r="AG172" s="1">
        <f t="shared" si="52"/>
        <v>-3</v>
      </c>
      <c r="AH172" s="1">
        <f t="shared" si="46"/>
        <v>39</v>
      </c>
      <c r="AI172" s="1">
        <f t="shared" si="53"/>
        <v>32</v>
      </c>
      <c r="AJ172" s="1" t="str">
        <f t="shared" si="54"/>
        <v>PAS DE DATE PAPIER</v>
      </c>
      <c r="AK172" s="1" t="str">
        <f t="shared" si="55"/>
        <v>STOCK</v>
      </c>
      <c r="AL172" s="1">
        <f t="shared" si="56"/>
        <v>8</v>
      </c>
      <c r="AM172" s="1">
        <f t="shared" si="57"/>
        <v>21</v>
      </c>
      <c r="AN172" s="1">
        <f t="shared" si="58"/>
        <v>11</v>
      </c>
      <c r="AO172" s="1">
        <f t="shared" si="61"/>
        <v>7</v>
      </c>
      <c r="AP172" s="1">
        <f t="shared" si="59"/>
        <v>9</v>
      </c>
      <c r="AQ172" s="1">
        <f t="shared" si="47"/>
        <v>11</v>
      </c>
      <c r="AR172" s="1">
        <f t="shared" si="60"/>
        <v>20</v>
      </c>
    </row>
    <row r="173" spans="1:44" x14ac:dyDescent="0.3">
      <c r="A173" s="1">
        <v>25234</v>
      </c>
      <c r="B173" s="1" t="s">
        <v>13</v>
      </c>
      <c r="C173" s="3" t="s">
        <v>276</v>
      </c>
      <c r="D173" s="4">
        <v>15000</v>
      </c>
      <c r="E173" s="24">
        <f>_xlfn.XLOOKUP(A173,[1]PONCEBLANC!$Q:$Q,[1]PONCEBLANC!$J:$J,100,0)</f>
        <v>119400</v>
      </c>
      <c r="F173" s="2" t="s">
        <v>134</v>
      </c>
      <c r="G173" s="2">
        <v>45954</v>
      </c>
      <c r="H173" s="2">
        <v>45986</v>
      </c>
      <c r="I173" s="2">
        <v>45993</v>
      </c>
      <c r="J173" s="2">
        <v>46059</v>
      </c>
      <c r="K173" s="2">
        <v>46008</v>
      </c>
      <c r="M173" s="2">
        <v>46009</v>
      </c>
      <c r="N173" s="2">
        <v>46043</v>
      </c>
      <c r="O173" s="2">
        <v>46029</v>
      </c>
      <c r="P173" s="2">
        <v>46115</v>
      </c>
      <c r="Q173" s="2">
        <v>46065</v>
      </c>
      <c r="R173" s="2">
        <v>46094</v>
      </c>
      <c r="S173" s="2">
        <v>46094</v>
      </c>
      <c r="T173" s="2">
        <v>46126</v>
      </c>
      <c r="U173" s="1">
        <v>5</v>
      </c>
      <c r="Y173" s="1">
        <f t="shared" si="48"/>
        <v>122</v>
      </c>
      <c r="Z173" s="1">
        <f t="shared" si="49"/>
        <v>22</v>
      </c>
      <c r="AA173" s="1">
        <f t="shared" si="42"/>
        <v>100</v>
      </c>
      <c r="AB173" s="1">
        <f t="shared" si="43"/>
        <v>78</v>
      </c>
      <c r="AC173" s="1">
        <f t="shared" si="44"/>
        <v>0</v>
      </c>
      <c r="AD173" s="1">
        <f t="shared" si="50"/>
        <v>93</v>
      </c>
      <c r="AE173" s="1">
        <f t="shared" si="45"/>
        <v>5</v>
      </c>
      <c r="AF173" s="1">
        <f t="shared" si="51"/>
        <v>48</v>
      </c>
      <c r="AG173" s="1">
        <f t="shared" si="52"/>
        <v>40</v>
      </c>
      <c r="AH173" s="1">
        <f t="shared" si="46"/>
        <v>57</v>
      </c>
      <c r="AI173" s="1">
        <f t="shared" si="53"/>
        <v>41</v>
      </c>
      <c r="AJ173" s="1">
        <f t="shared" si="54"/>
        <v>17</v>
      </c>
      <c r="AK173" s="1">
        <f t="shared" si="55"/>
        <v>31</v>
      </c>
      <c r="AL173" s="1">
        <f t="shared" si="56"/>
        <v>16</v>
      </c>
      <c r="AM173" s="1" t="str">
        <f t="shared" si="57"/>
        <v>PAS DE DATE VALIDATION MODELE CLIENT</v>
      </c>
      <c r="AN173" s="1">
        <f t="shared" si="58"/>
        <v>25</v>
      </c>
      <c r="AO173" s="1">
        <f t="shared" si="61"/>
        <v>16</v>
      </c>
      <c r="AP173" s="1">
        <f t="shared" si="59"/>
        <v>36</v>
      </c>
      <c r="AQ173" s="1">
        <f t="shared" si="47"/>
        <v>-17</v>
      </c>
      <c r="AR173" s="1">
        <f t="shared" si="60"/>
        <v>22</v>
      </c>
    </row>
    <row r="174" spans="1:44" x14ac:dyDescent="0.3">
      <c r="A174" s="1">
        <v>25235</v>
      </c>
      <c r="B174" s="1" t="s">
        <v>13</v>
      </c>
      <c r="C174" s="3" t="s">
        <v>277</v>
      </c>
      <c r="D174" s="4">
        <v>15000</v>
      </c>
      <c r="E174" s="24">
        <f>_xlfn.XLOOKUP(A174,[1]PONCEBLANC!$Q:$Q,[1]PONCEBLANC!$J:$J,100,0)</f>
        <v>89700</v>
      </c>
      <c r="F174" s="2" t="s">
        <v>136</v>
      </c>
      <c r="G174" s="2">
        <v>45957</v>
      </c>
      <c r="H174" s="2">
        <v>45986</v>
      </c>
      <c r="I174" s="2">
        <v>45999</v>
      </c>
      <c r="J174" s="2">
        <v>46048</v>
      </c>
      <c r="K174" s="2">
        <v>46008</v>
      </c>
      <c r="L174" s="2">
        <v>46058</v>
      </c>
      <c r="N174" s="2">
        <v>46064</v>
      </c>
      <c r="O174" s="2">
        <v>46058</v>
      </c>
      <c r="P174" s="2">
        <v>46164</v>
      </c>
      <c r="Q174" s="2">
        <v>46073</v>
      </c>
      <c r="R174" s="2">
        <v>46129</v>
      </c>
      <c r="S174" s="2">
        <v>46136</v>
      </c>
      <c r="T174" s="2">
        <v>46178</v>
      </c>
      <c r="U174" s="1">
        <v>4</v>
      </c>
      <c r="V174" s="3" t="s">
        <v>398</v>
      </c>
      <c r="Y174" s="1">
        <f t="shared" si="48"/>
        <v>159</v>
      </c>
      <c r="Z174" s="1">
        <f t="shared" si="49"/>
        <v>21</v>
      </c>
      <c r="AA174" s="1">
        <f t="shared" si="42"/>
        <v>138</v>
      </c>
      <c r="AB174" s="1">
        <f t="shared" si="43"/>
        <v>108</v>
      </c>
      <c r="AC174" s="1">
        <f t="shared" si="44"/>
        <v>5</v>
      </c>
      <c r="AD174" s="1">
        <f t="shared" si="50"/>
        <v>128</v>
      </c>
      <c r="AE174" s="1">
        <f t="shared" si="45"/>
        <v>9</v>
      </c>
      <c r="AF174" s="1">
        <f t="shared" si="51"/>
        <v>35</v>
      </c>
      <c r="AG174" s="1">
        <f t="shared" si="52"/>
        <v>84</v>
      </c>
      <c r="AH174" s="1">
        <f t="shared" si="46"/>
        <v>63</v>
      </c>
      <c r="AI174" s="1">
        <f t="shared" si="53"/>
        <v>56</v>
      </c>
      <c r="AJ174" s="1" t="str">
        <f t="shared" si="54"/>
        <v>PAS DE DATE PAPIER</v>
      </c>
      <c r="AK174" s="1">
        <f t="shared" si="55"/>
        <v>52</v>
      </c>
      <c r="AL174" s="1">
        <f t="shared" si="56"/>
        <v>16</v>
      </c>
      <c r="AM174" s="1">
        <f t="shared" si="57"/>
        <v>52</v>
      </c>
      <c r="AN174" s="1">
        <f t="shared" si="58"/>
        <v>4</v>
      </c>
      <c r="AO174" s="1">
        <f t="shared" si="61"/>
        <v>7</v>
      </c>
      <c r="AP174" s="1">
        <f t="shared" si="59"/>
        <v>65</v>
      </c>
      <c r="AQ174" s="1">
        <f t="shared" si="47"/>
        <v>-22</v>
      </c>
      <c r="AR174" s="1">
        <f t="shared" si="60"/>
        <v>30</v>
      </c>
    </row>
    <row r="175" spans="1:44" x14ac:dyDescent="0.3">
      <c r="A175" s="1">
        <v>25236</v>
      </c>
      <c r="B175" s="1" t="s">
        <v>13</v>
      </c>
      <c r="C175" s="3" t="s">
        <v>278</v>
      </c>
      <c r="D175" s="4">
        <v>5000</v>
      </c>
      <c r="E175" s="24">
        <f>_xlfn.XLOOKUP(A175,[1]PONCEBLANC!$Q:$Q,[1]PONCEBLANC!$J:$J,100,0)</f>
        <v>64800.000000000007</v>
      </c>
      <c r="F175" s="2" t="s">
        <v>300</v>
      </c>
      <c r="G175" s="2">
        <v>45957</v>
      </c>
      <c r="H175" s="2">
        <v>45986</v>
      </c>
      <c r="I175" s="2">
        <v>45993</v>
      </c>
      <c r="J175" s="2">
        <v>46129</v>
      </c>
      <c r="K175" s="2">
        <v>46009</v>
      </c>
      <c r="L175" s="2">
        <v>46058</v>
      </c>
      <c r="M175" s="2">
        <v>46013</v>
      </c>
      <c r="N175" s="2">
        <v>46064</v>
      </c>
      <c r="O175" s="2">
        <v>46058</v>
      </c>
      <c r="P175" s="2">
        <v>46108</v>
      </c>
      <c r="Q175" s="2">
        <v>46087</v>
      </c>
      <c r="R175" s="2">
        <v>46122</v>
      </c>
      <c r="S175" s="2">
        <v>46129</v>
      </c>
      <c r="T175" s="2">
        <v>46150</v>
      </c>
      <c r="U175" s="1">
        <v>4</v>
      </c>
      <c r="Y175" s="1">
        <f t="shared" si="48"/>
        <v>139</v>
      </c>
      <c r="Z175" s="1">
        <f t="shared" si="49"/>
        <v>21</v>
      </c>
      <c r="AA175" s="1">
        <f t="shared" si="42"/>
        <v>118</v>
      </c>
      <c r="AB175" s="1">
        <f t="shared" si="43"/>
        <v>103</v>
      </c>
      <c r="AC175" s="1">
        <f t="shared" si="44"/>
        <v>5</v>
      </c>
      <c r="AD175" s="1">
        <f t="shared" si="50"/>
        <v>88</v>
      </c>
      <c r="AE175" s="1">
        <f t="shared" si="45"/>
        <v>5</v>
      </c>
      <c r="AF175" s="1">
        <f t="shared" si="51"/>
        <v>98</v>
      </c>
      <c r="AG175" s="1">
        <f t="shared" si="52"/>
        <v>-17</v>
      </c>
      <c r="AH175" s="1">
        <f t="shared" si="46"/>
        <v>73</v>
      </c>
      <c r="AI175" s="1">
        <f t="shared" si="53"/>
        <v>56</v>
      </c>
      <c r="AJ175" s="1">
        <f t="shared" si="54"/>
        <v>19</v>
      </c>
      <c r="AK175" s="1">
        <f t="shared" si="55"/>
        <v>52</v>
      </c>
      <c r="AL175" s="1">
        <f t="shared" si="56"/>
        <v>17</v>
      </c>
      <c r="AM175" s="1">
        <f t="shared" si="57"/>
        <v>52</v>
      </c>
      <c r="AN175" s="1">
        <f t="shared" si="58"/>
        <v>4</v>
      </c>
      <c r="AO175" s="1">
        <f t="shared" si="61"/>
        <v>17</v>
      </c>
      <c r="AP175" s="1">
        <f t="shared" si="59"/>
        <v>15</v>
      </c>
      <c r="AQ175" s="1">
        <f t="shared" si="47"/>
        <v>15</v>
      </c>
      <c r="AR175" s="1">
        <f t="shared" si="60"/>
        <v>15</v>
      </c>
    </row>
    <row r="176" spans="1:44" x14ac:dyDescent="0.3">
      <c r="A176" s="1">
        <v>25237</v>
      </c>
      <c r="B176" s="1" t="s">
        <v>13</v>
      </c>
      <c r="C176" s="3" t="s">
        <v>279</v>
      </c>
      <c r="D176" s="4">
        <v>3500</v>
      </c>
      <c r="E176" s="24">
        <f>_xlfn.XLOOKUP(A176,[1]PONCEBLANC!$Q:$Q,[1]PONCEBLANC!$J:$J,100,0)</f>
        <v>55500</v>
      </c>
      <c r="F176" s="2" t="s">
        <v>301</v>
      </c>
      <c r="G176" s="2">
        <v>45957</v>
      </c>
      <c r="H176" s="2">
        <v>45986</v>
      </c>
      <c r="I176" s="2">
        <v>45993</v>
      </c>
      <c r="K176" s="2">
        <v>46009</v>
      </c>
      <c r="R176" s="2">
        <v>46142</v>
      </c>
      <c r="S176" s="2">
        <v>46142</v>
      </c>
      <c r="T176" s="2">
        <v>46157</v>
      </c>
      <c r="U176" s="1">
        <v>2</v>
      </c>
      <c r="Y176" s="1">
        <f t="shared" si="48"/>
        <v>144</v>
      </c>
      <c r="Z176" s="1">
        <f t="shared" si="49"/>
        <v>21</v>
      </c>
      <c r="AA176" s="1">
        <f t="shared" si="42"/>
        <v>123</v>
      </c>
      <c r="AB176" s="1">
        <f t="shared" si="43"/>
        <v>112</v>
      </c>
      <c r="AC176" s="1">
        <f t="shared" si="44"/>
        <v>0</v>
      </c>
      <c r="AD176" s="1" t="str">
        <f t="shared" si="50"/>
        <v>PAS DE DEPART MATIERE</v>
      </c>
      <c r="AE176" s="1">
        <f t="shared" si="45"/>
        <v>5</v>
      </c>
      <c r="AF176" s="1" t="str">
        <f t="shared" si="51"/>
        <v>PAS DE COMMANDE MATIERE</v>
      </c>
      <c r="AG176" s="1" t="str">
        <f t="shared" si="52"/>
        <v>PAS DE COMMANDE MATIERE</v>
      </c>
      <c r="AH176" s="1" t="str">
        <f t="shared" si="46"/>
        <v>PAS DE DEPART TIRAGES OU ACHATS</v>
      </c>
      <c r="AI176" s="1" t="str">
        <f t="shared" si="53"/>
        <v>PAS DE DATE IMPRESSION</v>
      </c>
      <c r="AJ176" s="1" t="str">
        <f t="shared" si="54"/>
        <v>PAS DE DATE PAPIER</v>
      </c>
      <c r="AK176" s="1" t="str">
        <f t="shared" si="55"/>
        <v>PAS DE DATE CARTON</v>
      </c>
      <c r="AL176" s="1">
        <f t="shared" si="56"/>
        <v>17</v>
      </c>
      <c r="AM176" s="1" t="str">
        <f t="shared" si="57"/>
        <v>PAS DE DATE VALIDATION MODELE CLIENT</v>
      </c>
      <c r="AN176" s="1" t="str">
        <f t="shared" si="58"/>
        <v>PAS DE DATE IMPRESSION</v>
      </c>
      <c r="AO176" s="1" t="str">
        <f t="shared" si="61"/>
        <v>PAS D'IMPRESSION</v>
      </c>
      <c r="AP176" s="1" t="str">
        <f t="shared" si="59"/>
        <v>PAS D'EXPEDITION DE MATIERE, D'IMPRESSION, OU D'ACHAT</v>
      </c>
      <c r="AQ176" s="1" t="str">
        <f t="shared" si="47"/>
        <v>PAS D'EXPEDITION DE MATIERE, D'IMPRESSION, OU D'ACHAT</v>
      </c>
      <c r="AR176" s="1" t="str">
        <f t="shared" si="60"/>
        <v>PAS D'IMPRESSION</v>
      </c>
    </row>
    <row r="177" spans="1:44" x14ac:dyDescent="0.3">
      <c r="A177" s="1">
        <v>25238</v>
      </c>
      <c r="B177" s="1" t="s">
        <v>280</v>
      </c>
      <c r="C177" s="3" t="s">
        <v>179</v>
      </c>
      <c r="D177" s="4">
        <v>600</v>
      </c>
      <c r="E177" s="24">
        <f>_xlfn.XLOOKUP(A177,[1]PONCEBLANC!$Q:$Q,[1]PONCEBLANC!$J:$J,100,0)</f>
        <v>13062</v>
      </c>
      <c r="F177" s="2" t="s">
        <v>179</v>
      </c>
      <c r="G177" s="2">
        <v>45957</v>
      </c>
      <c r="H177" s="2">
        <v>45988</v>
      </c>
      <c r="K177" s="2">
        <v>45993</v>
      </c>
      <c r="N177" s="2">
        <v>46000</v>
      </c>
      <c r="O177" s="2" t="s">
        <v>199</v>
      </c>
      <c r="Q177" s="2">
        <v>46062</v>
      </c>
      <c r="R177" s="2">
        <v>46031</v>
      </c>
      <c r="S177" s="2">
        <v>46031</v>
      </c>
      <c r="T177" s="2">
        <v>46031</v>
      </c>
      <c r="U177" s="4">
        <v>1</v>
      </c>
      <c r="Y177" s="1">
        <f t="shared" si="48"/>
        <v>54</v>
      </c>
      <c r="Z177" s="1">
        <f t="shared" si="49"/>
        <v>23</v>
      </c>
      <c r="AA177" s="1">
        <f t="shared" si="42"/>
        <v>31</v>
      </c>
      <c r="AB177" s="1">
        <f t="shared" si="43"/>
        <v>31</v>
      </c>
      <c r="AC177" s="1">
        <f t="shared" si="44"/>
        <v>0</v>
      </c>
      <c r="AD177" s="1" t="str">
        <f t="shared" si="50"/>
        <v>PAS DE DEPART MATIERE</v>
      </c>
      <c r="AE177" s="1" t="str">
        <f t="shared" si="45"/>
        <v>PAS DE COMMANDE MATIERE</v>
      </c>
      <c r="AF177" s="1" t="str">
        <f t="shared" si="51"/>
        <v>PAS DE COMMANDE MATIERE</v>
      </c>
      <c r="AG177" s="1" t="str">
        <f t="shared" si="52"/>
        <v>PAS DE COMMANDE MATIERE</v>
      </c>
      <c r="AH177" s="1">
        <f t="shared" si="46"/>
        <v>52</v>
      </c>
      <c r="AI177" s="1">
        <f t="shared" si="53"/>
        <v>8</v>
      </c>
      <c r="AJ177" s="1" t="str">
        <f t="shared" si="54"/>
        <v>PAS DE DATE PAPIER</v>
      </c>
      <c r="AK177" s="1" t="str">
        <f t="shared" si="55"/>
        <v>STOCK</v>
      </c>
      <c r="AL177" s="1">
        <f t="shared" si="56"/>
        <v>3</v>
      </c>
      <c r="AM177" s="1" t="str">
        <f t="shared" si="57"/>
        <v>PAS DE DATE VALIDATION MODELE CLIENT</v>
      </c>
      <c r="AN177" s="1">
        <f t="shared" si="58"/>
        <v>5</v>
      </c>
      <c r="AO177" s="1">
        <f t="shared" si="61"/>
        <v>44</v>
      </c>
      <c r="AP177" s="1">
        <f t="shared" si="59"/>
        <v>0</v>
      </c>
      <c r="AQ177" s="1">
        <f t="shared" si="47"/>
        <v>-23</v>
      </c>
      <c r="AR177" s="1" t="str">
        <f t="shared" si="60"/>
        <v>PAS D'IMPRESSION</v>
      </c>
    </row>
    <row r="178" spans="1:44" x14ac:dyDescent="0.3">
      <c r="A178" s="1">
        <v>25239</v>
      </c>
      <c r="B178" s="1" t="s">
        <v>17</v>
      </c>
      <c r="C178" s="3" t="s">
        <v>281</v>
      </c>
      <c r="D178" s="4">
        <v>2000</v>
      </c>
      <c r="E178" s="24">
        <f>_xlfn.XLOOKUP(A178,[1]PONCEBLANC!$Q:$Q,[1]PONCEBLANC!$J:$J,100,0)</f>
        <v>27200</v>
      </c>
      <c r="F178" s="2" t="s">
        <v>136</v>
      </c>
      <c r="G178" s="2">
        <v>45964</v>
      </c>
      <c r="H178" s="2">
        <v>45993</v>
      </c>
      <c r="I178" s="2">
        <v>45995</v>
      </c>
      <c r="O178" s="2">
        <v>46029</v>
      </c>
      <c r="Y178" s="1" t="str">
        <f t="shared" si="48"/>
        <v>DATE MANQUANTE</v>
      </c>
      <c r="Z178" s="1">
        <f t="shared" si="49"/>
        <v>21</v>
      </c>
      <c r="AA178" s="1" t="str">
        <f t="shared" si="42"/>
        <v>NON LIVRE</v>
      </c>
      <c r="AB178" s="1" t="str">
        <f t="shared" si="43"/>
        <v>NON LIVRE</v>
      </c>
      <c r="AC178" s="1" t="str">
        <f t="shared" si="44"/>
        <v>NON LIVRE</v>
      </c>
      <c r="AD178" s="1" t="str">
        <f t="shared" si="50"/>
        <v>NON LIVRE</v>
      </c>
      <c r="AE178" s="1" t="str">
        <f t="shared" si="45"/>
        <v>NON LIVRE</v>
      </c>
      <c r="AF178" s="1" t="str">
        <f t="shared" si="51"/>
        <v>NON LIVRE</v>
      </c>
      <c r="AG178" s="1" t="str">
        <f t="shared" si="52"/>
        <v>NON LIVRE</v>
      </c>
      <c r="AH178" s="1" t="str">
        <f t="shared" si="46"/>
        <v>NON LIVRE</v>
      </c>
      <c r="AI178" s="1" t="str">
        <f t="shared" si="53"/>
        <v>NON LIVRE</v>
      </c>
      <c r="AJ178" s="1" t="str">
        <f t="shared" si="54"/>
        <v>NON LIVRE</v>
      </c>
      <c r="AK178" s="1" t="str">
        <f t="shared" si="55"/>
        <v>NON LIVRE</v>
      </c>
      <c r="AL178" s="1" t="str">
        <f t="shared" si="56"/>
        <v>NON LIVRE</v>
      </c>
      <c r="AM178" s="1" t="str">
        <f t="shared" si="57"/>
        <v>NON LIVRE</v>
      </c>
      <c r="AN178" s="1" t="str">
        <f t="shared" si="58"/>
        <v>NON LIVRE</v>
      </c>
      <c r="AO178" s="1" t="str">
        <f t="shared" si="61"/>
        <v>NON LIVRE</v>
      </c>
      <c r="AP178" s="1" t="str">
        <f t="shared" si="59"/>
        <v>NON LIVRE</v>
      </c>
      <c r="AQ178" s="1" t="str">
        <f t="shared" si="47"/>
        <v>NON LIVRE</v>
      </c>
      <c r="AR178" s="1" t="str">
        <f t="shared" si="60"/>
        <v>NON LIVRE</v>
      </c>
    </row>
    <row r="179" spans="1:44" x14ac:dyDescent="0.3">
      <c r="A179" s="1">
        <v>25240</v>
      </c>
      <c r="B179" s="1" t="s">
        <v>282</v>
      </c>
      <c r="C179" s="3" t="s">
        <v>283</v>
      </c>
      <c r="D179" s="4">
        <v>900</v>
      </c>
      <c r="E179" s="24">
        <f>_xlfn.XLOOKUP(A179,[1]PONCEBLANC!$Q:$Q,[1]PONCEBLANC!$J:$J,100,0)</f>
        <v>14031</v>
      </c>
      <c r="F179" s="2" t="s">
        <v>165</v>
      </c>
      <c r="G179" s="2">
        <v>45791</v>
      </c>
      <c r="H179" s="2">
        <v>45996</v>
      </c>
      <c r="O179" s="2">
        <v>46029</v>
      </c>
      <c r="Y179" s="1" t="str">
        <f t="shared" si="48"/>
        <v>DATE MANQUANTE</v>
      </c>
      <c r="Z179" s="1">
        <f t="shared" si="49"/>
        <v>147</v>
      </c>
      <c r="AA179" s="1" t="str">
        <f t="shared" si="42"/>
        <v>NON LIVRE</v>
      </c>
      <c r="AB179" s="1" t="str">
        <f t="shared" si="43"/>
        <v>NON LIVRE</v>
      </c>
      <c r="AC179" s="1" t="str">
        <f t="shared" si="44"/>
        <v>NON LIVRE</v>
      </c>
      <c r="AD179" s="1" t="str">
        <f t="shared" si="50"/>
        <v>NON LIVRE</v>
      </c>
      <c r="AE179" s="1" t="str">
        <f t="shared" si="45"/>
        <v>NON LIVRE</v>
      </c>
      <c r="AF179" s="1" t="str">
        <f t="shared" si="51"/>
        <v>NON LIVRE</v>
      </c>
      <c r="AG179" s="1" t="str">
        <f t="shared" si="52"/>
        <v>NON LIVRE</v>
      </c>
      <c r="AH179" s="1" t="str">
        <f t="shared" si="46"/>
        <v>NON LIVRE</v>
      </c>
      <c r="AI179" s="1" t="str">
        <f t="shared" si="53"/>
        <v>NON LIVRE</v>
      </c>
      <c r="AJ179" s="1" t="str">
        <f t="shared" si="54"/>
        <v>NON LIVRE</v>
      </c>
      <c r="AK179" s="1" t="str">
        <f t="shared" si="55"/>
        <v>NON LIVRE</v>
      </c>
      <c r="AL179" s="1" t="str">
        <f t="shared" si="56"/>
        <v>NON LIVRE</v>
      </c>
      <c r="AM179" s="1" t="str">
        <f t="shared" si="57"/>
        <v>NON LIVRE</v>
      </c>
      <c r="AN179" s="1" t="str">
        <f t="shared" si="58"/>
        <v>NON LIVRE</v>
      </c>
      <c r="AO179" s="1" t="str">
        <f t="shared" si="61"/>
        <v>NON LIVRE</v>
      </c>
      <c r="AP179" s="1" t="str">
        <f t="shared" si="59"/>
        <v>NON LIVRE</v>
      </c>
      <c r="AQ179" s="1" t="str">
        <f t="shared" si="47"/>
        <v>NON LIVRE</v>
      </c>
      <c r="AR179" s="1" t="str">
        <f t="shared" si="60"/>
        <v>NON LIVRE</v>
      </c>
    </row>
    <row r="180" spans="1:44" x14ac:dyDescent="0.3">
      <c r="A180" s="1">
        <v>25241</v>
      </c>
      <c r="B180" s="1" t="s">
        <v>105</v>
      </c>
      <c r="C180" s="3" t="s">
        <v>284</v>
      </c>
      <c r="D180" s="4" t="s">
        <v>285</v>
      </c>
      <c r="E180" s="24">
        <f>_xlfn.XLOOKUP(A180,[1]PONCEBLANC!$Q:$Q,[1]PONCEBLANC!$J:$J,100,0)</f>
        <v>8977.5</v>
      </c>
      <c r="F180" s="2" t="s">
        <v>149</v>
      </c>
      <c r="G180" s="2">
        <v>45985</v>
      </c>
      <c r="H180" s="2">
        <v>45999</v>
      </c>
      <c r="Y180" s="1" t="str">
        <f t="shared" si="48"/>
        <v>DATE MANQUANTE</v>
      </c>
      <c r="Z180" s="1">
        <f t="shared" si="49"/>
        <v>10</v>
      </c>
      <c r="AA180" s="1" t="str">
        <f t="shared" si="42"/>
        <v>NON LIVRE</v>
      </c>
      <c r="AB180" s="1" t="str">
        <f t="shared" si="43"/>
        <v>NON LIVRE</v>
      </c>
      <c r="AC180" s="1" t="str">
        <f t="shared" si="44"/>
        <v>NON LIVRE</v>
      </c>
      <c r="AD180" s="1" t="str">
        <f t="shared" si="50"/>
        <v>NON LIVRE</v>
      </c>
      <c r="AE180" s="1" t="str">
        <f t="shared" si="45"/>
        <v>NON LIVRE</v>
      </c>
      <c r="AF180" s="1" t="str">
        <f t="shared" si="51"/>
        <v>NON LIVRE</v>
      </c>
      <c r="AG180" s="1" t="str">
        <f t="shared" si="52"/>
        <v>NON LIVRE</v>
      </c>
      <c r="AH180" s="1" t="str">
        <f t="shared" si="46"/>
        <v>NON LIVRE</v>
      </c>
      <c r="AI180" s="1" t="str">
        <f t="shared" si="53"/>
        <v>NON LIVRE</v>
      </c>
      <c r="AJ180" s="1" t="str">
        <f t="shared" si="54"/>
        <v>NON LIVRE</v>
      </c>
      <c r="AK180" s="1" t="str">
        <f t="shared" si="55"/>
        <v>NON LIVRE</v>
      </c>
      <c r="AL180" s="1" t="str">
        <f t="shared" si="56"/>
        <v>NON LIVRE</v>
      </c>
      <c r="AM180" s="1" t="str">
        <f t="shared" si="57"/>
        <v>NON LIVRE</v>
      </c>
      <c r="AN180" s="1" t="str">
        <f t="shared" si="58"/>
        <v>NON LIVRE</v>
      </c>
      <c r="AO180" s="1" t="str">
        <f t="shared" si="61"/>
        <v>NON LIVRE</v>
      </c>
      <c r="AP180" s="1" t="str">
        <f t="shared" si="59"/>
        <v>NON LIVRE</v>
      </c>
      <c r="AQ180" s="1" t="str">
        <f t="shared" si="47"/>
        <v>NON LIVRE</v>
      </c>
      <c r="AR180" s="1" t="str">
        <f t="shared" si="60"/>
        <v>NON LIVRE</v>
      </c>
    </row>
    <row r="181" spans="1:44" x14ac:dyDescent="0.3">
      <c r="A181" s="1">
        <v>25242</v>
      </c>
      <c r="B181" s="1" t="s">
        <v>286</v>
      </c>
      <c r="C181" s="3" t="s">
        <v>287</v>
      </c>
      <c r="E181" s="24">
        <f>_xlfn.XLOOKUP(A181,[1]PONCEBLANC!$Q:$Q,[1]PONCEBLANC!$J:$J,100,0)</f>
        <v>100</v>
      </c>
      <c r="G181" s="2" t="s">
        <v>450</v>
      </c>
      <c r="H181" s="2">
        <v>45999</v>
      </c>
      <c r="K181" s="2">
        <v>46009</v>
      </c>
      <c r="P181" s="2">
        <v>46031</v>
      </c>
      <c r="Q181" s="2">
        <v>46031</v>
      </c>
      <c r="Y181" s="1" t="str">
        <f t="shared" si="48"/>
        <v>DATE MANQUANTE</v>
      </c>
      <c r="Z181" s="1" t="str">
        <f t="shared" si="49"/>
        <v>DATE MANQUANTE</v>
      </c>
      <c r="AA181" s="1" t="str">
        <f t="shared" si="42"/>
        <v>NON LIVRE</v>
      </c>
      <c r="AB181" s="1" t="str">
        <f t="shared" si="43"/>
        <v>NON LIVRE</v>
      </c>
      <c r="AC181" s="1" t="str">
        <f t="shared" si="44"/>
        <v>NON LIVRE</v>
      </c>
      <c r="AD181" s="1" t="str">
        <f t="shared" si="50"/>
        <v>NON LIVRE</v>
      </c>
      <c r="AE181" s="1" t="str">
        <f t="shared" si="45"/>
        <v>NON LIVRE</v>
      </c>
      <c r="AF181" s="1" t="str">
        <f t="shared" si="51"/>
        <v>NON LIVRE</v>
      </c>
      <c r="AG181" s="1" t="str">
        <f t="shared" si="52"/>
        <v>NON LIVRE</v>
      </c>
      <c r="AH181" s="1" t="str">
        <f t="shared" si="46"/>
        <v>NON LIVRE</v>
      </c>
      <c r="AI181" s="1" t="str">
        <f t="shared" si="53"/>
        <v>NON LIVRE</v>
      </c>
      <c r="AJ181" s="1" t="str">
        <f t="shared" si="54"/>
        <v>NON LIVRE</v>
      </c>
      <c r="AK181" s="1" t="str">
        <f t="shared" si="55"/>
        <v>NON LIVRE</v>
      </c>
      <c r="AL181" s="1" t="str">
        <f t="shared" si="56"/>
        <v>NON LIVRE</v>
      </c>
      <c r="AM181" s="1" t="str">
        <f t="shared" si="57"/>
        <v>NON LIVRE</v>
      </c>
      <c r="AN181" s="1" t="str">
        <f t="shared" si="58"/>
        <v>NON LIVRE</v>
      </c>
      <c r="AO181" s="1" t="str">
        <f t="shared" si="61"/>
        <v>NON LIVRE</v>
      </c>
      <c r="AP181" s="1" t="str">
        <f t="shared" si="59"/>
        <v>NON LIVRE</v>
      </c>
      <c r="AQ181" s="1" t="str">
        <f t="shared" si="47"/>
        <v>NON LIVRE</v>
      </c>
      <c r="AR181" s="1" t="str">
        <f t="shared" si="60"/>
        <v>NON LIVRE</v>
      </c>
    </row>
    <row r="182" spans="1:44" x14ac:dyDescent="0.3">
      <c r="A182" s="1">
        <v>25243</v>
      </c>
      <c r="B182" s="1" t="s">
        <v>41</v>
      </c>
      <c r="C182" s="3" t="s">
        <v>288</v>
      </c>
      <c r="D182" s="4">
        <v>130</v>
      </c>
      <c r="E182" s="24">
        <f>_xlfn.XLOOKUP(A182,[1]PONCEBLANC!$Q:$Q,[1]PONCEBLANC!$J:$J,100,0)</f>
        <v>100</v>
      </c>
      <c r="F182" s="2" t="s">
        <v>137</v>
      </c>
      <c r="G182" s="2" t="s">
        <v>450</v>
      </c>
      <c r="H182" s="2">
        <v>46002</v>
      </c>
      <c r="I182" s="2">
        <v>46006</v>
      </c>
      <c r="J182" s="2">
        <v>46037</v>
      </c>
      <c r="K182" s="2">
        <v>46021</v>
      </c>
      <c r="L182" s="2" t="s">
        <v>315</v>
      </c>
      <c r="N182" s="2">
        <v>46044</v>
      </c>
      <c r="P182" s="2">
        <v>46045</v>
      </c>
      <c r="Q182" s="2">
        <v>46044</v>
      </c>
      <c r="R182" s="2">
        <v>46080</v>
      </c>
      <c r="S182" s="2">
        <v>46080</v>
      </c>
      <c r="T182" s="2">
        <v>46080</v>
      </c>
      <c r="U182" s="1">
        <v>1</v>
      </c>
      <c r="Y182" s="1" t="str">
        <f t="shared" si="48"/>
        <v>DATE MANQUANTE</v>
      </c>
      <c r="Z182" s="1" t="str">
        <f t="shared" si="49"/>
        <v>DATE MANQUANTE</v>
      </c>
      <c r="AA182" s="1">
        <f t="shared" si="42"/>
        <v>56</v>
      </c>
      <c r="AB182" s="1">
        <f t="shared" si="43"/>
        <v>56</v>
      </c>
      <c r="AC182" s="1">
        <f t="shared" si="44"/>
        <v>0</v>
      </c>
      <c r="AD182" s="1">
        <f t="shared" si="50"/>
        <v>31</v>
      </c>
      <c r="AE182" s="1">
        <f t="shared" si="45"/>
        <v>2</v>
      </c>
      <c r="AF182" s="1">
        <f t="shared" si="51"/>
        <v>23</v>
      </c>
      <c r="AG182" s="1">
        <f t="shared" si="52"/>
        <v>6</v>
      </c>
      <c r="AH182" s="1">
        <f t="shared" si="46"/>
        <v>30</v>
      </c>
      <c r="AI182" s="1">
        <f t="shared" si="53"/>
        <v>30</v>
      </c>
      <c r="AJ182" s="1" t="str">
        <f t="shared" si="54"/>
        <v>PAS DE DATE PAPIER</v>
      </c>
      <c r="AK182" s="1" t="str">
        <f t="shared" si="55"/>
        <v>PAS DE DATE CARTON</v>
      </c>
      <c r="AL182" s="1">
        <f t="shared" si="56"/>
        <v>13</v>
      </c>
      <c r="AM182" s="1" t="str">
        <f t="shared" si="57"/>
        <v>ANC FAB</v>
      </c>
      <c r="AN182" s="1">
        <f t="shared" si="58"/>
        <v>17</v>
      </c>
      <c r="AO182" s="1">
        <f t="shared" si="61"/>
        <v>0</v>
      </c>
      <c r="AP182" s="1">
        <f t="shared" si="59"/>
        <v>1</v>
      </c>
      <c r="AQ182" s="1">
        <f t="shared" si="47"/>
        <v>25</v>
      </c>
      <c r="AR182" s="1">
        <f t="shared" si="60"/>
        <v>0</v>
      </c>
    </row>
    <row r="183" spans="1:44" x14ac:dyDescent="0.3">
      <c r="A183" s="1">
        <v>25244</v>
      </c>
      <c r="B183" s="1" t="s">
        <v>264</v>
      </c>
      <c r="D183" s="4">
        <v>3300</v>
      </c>
      <c r="E183" s="24">
        <f>_xlfn.XLOOKUP(A183,[1]PONCEBLANC!$Q:$Q,[1]PONCEBLANC!$J:$J,100,0)</f>
        <v>100</v>
      </c>
      <c r="G183" s="2" t="s">
        <v>450</v>
      </c>
      <c r="H183" s="2">
        <v>46006</v>
      </c>
      <c r="R183" s="2">
        <v>46052</v>
      </c>
      <c r="S183" s="2">
        <v>46052</v>
      </c>
      <c r="T183" s="2">
        <v>46052</v>
      </c>
      <c r="U183" s="1">
        <v>1</v>
      </c>
      <c r="Y183" s="1" t="str">
        <f t="shared" si="48"/>
        <v>DATE MANQUANTE</v>
      </c>
      <c r="Z183" s="1" t="str">
        <f t="shared" si="49"/>
        <v>DATE MANQUANTE</v>
      </c>
      <c r="AA183" s="1">
        <f t="shared" si="42"/>
        <v>34</v>
      </c>
      <c r="AB183" s="1">
        <f t="shared" si="43"/>
        <v>34</v>
      </c>
      <c r="AC183" s="1">
        <f t="shared" si="44"/>
        <v>0</v>
      </c>
      <c r="AD183" s="1" t="str">
        <f t="shared" si="50"/>
        <v>PAS DE DEPART MATIERE</v>
      </c>
      <c r="AE183" s="1" t="str">
        <f t="shared" si="45"/>
        <v>PAS DE COMMANDE MATIERE</v>
      </c>
      <c r="AF183" s="1" t="str">
        <f t="shared" si="51"/>
        <v>PAS DE COMMANDE MATIERE</v>
      </c>
      <c r="AG183" s="1" t="str">
        <f t="shared" si="52"/>
        <v>PAS DE COMMANDE MATIERE</v>
      </c>
      <c r="AH183" s="1" t="str">
        <f t="shared" si="46"/>
        <v>PAS DE DEPART TIRAGES OU ACHATS</v>
      </c>
      <c r="AI183" s="1" t="str">
        <f t="shared" si="53"/>
        <v>PAS DE DATE IMPRESSION</v>
      </c>
      <c r="AJ183" s="1" t="str">
        <f t="shared" si="54"/>
        <v>PAS DE DATE PAPIER</v>
      </c>
      <c r="AK183" s="1" t="str">
        <f t="shared" si="55"/>
        <v>PAS DE DATE CARTON</v>
      </c>
      <c r="AL183" s="1" t="str">
        <f t="shared" si="56"/>
        <v>PAS DE DATE FICHIER</v>
      </c>
      <c r="AM183" s="1" t="str">
        <f t="shared" si="57"/>
        <v>PAS DE DATE VALIDATION MODELE CLIENT</v>
      </c>
      <c r="AN183" s="1" t="str">
        <f t="shared" si="58"/>
        <v>PAS DE DATE IMPRESSION</v>
      </c>
      <c r="AO183" s="1" t="str">
        <f t="shared" si="61"/>
        <v>PAS D'IMPRESSION</v>
      </c>
      <c r="AP183" s="1" t="str">
        <f t="shared" si="59"/>
        <v>PAS D'EXPEDITION DE MATIERE, D'IMPRESSION, OU D'ACHAT</v>
      </c>
      <c r="AQ183" s="1" t="str">
        <f t="shared" si="47"/>
        <v>PAS D'EXPEDITION DE MATIERE, D'IMPRESSION, OU D'ACHAT</v>
      </c>
      <c r="AR183" s="1" t="str">
        <f t="shared" si="60"/>
        <v>PAS D'IMPRESSION</v>
      </c>
    </row>
    <row r="184" spans="1:44" x14ac:dyDescent="0.3">
      <c r="A184" s="1">
        <v>25245</v>
      </c>
      <c r="B184" s="1" t="s">
        <v>289</v>
      </c>
      <c r="C184" s="3" t="s">
        <v>290</v>
      </c>
      <c r="D184" s="4" t="s">
        <v>291</v>
      </c>
      <c r="E184" s="24">
        <f>_xlfn.XLOOKUP(A184,[1]PONCEBLANC!$Q:$Q,[1]PONCEBLANC!$J:$J,100,0)</f>
        <v>5559</v>
      </c>
      <c r="F184" s="2" t="s">
        <v>241</v>
      </c>
      <c r="G184" s="2">
        <v>46006</v>
      </c>
      <c r="H184" s="2">
        <v>46007</v>
      </c>
      <c r="J184" s="2">
        <v>46100</v>
      </c>
      <c r="L184" s="2">
        <v>46135</v>
      </c>
      <c r="N184" s="2">
        <v>46146</v>
      </c>
      <c r="P184" s="2">
        <v>46149</v>
      </c>
      <c r="Q184" s="2">
        <v>46155</v>
      </c>
      <c r="R184" s="2">
        <v>46185</v>
      </c>
      <c r="S184" s="2">
        <v>46185</v>
      </c>
      <c r="T184" s="2">
        <v>46185</v>
      </c>
      <c r="U184" s="1">
        <v>1</v>
      </c>
      <c r="Y184" s="1">
        <f t="shared" si="48"/>
        <v>129</v>
      </c>
      <c r="Z184" s="1">
        <f t="shared" si="49"/>
        <v>1</v>
      </c>
      <c r="AA184" s="1">
        <f t="shared" si="42"/>
        <v>128</v>
      </c>
      <c r="AB184" s="1">
        <f t="shared" si="43"/>
        <v>128</v>
      </c>
      <c r="AC184" s="1">
        <f t="shared" si="44"/>
        <v>0</v>
      </c>
      <c r="AD184" s="1">
        <f t="shared" si="50"/>
        <v>102</v>
      </c>
      <c r="AE184" s="1" t="str">
        <f t="shared" si="45"/>
        <v>PAS DE COMMANDE MATIERE</v>
      </c>
      <c r="AF184" s="1">
        <f t="shared" si="51"/>
        <v>32928</v>
      </c>
      <c r="AG184" s="1">
        <f t="shared" si="52"/>
        <v>35</v>
      </c>
      <c r="AH184" s="1">
        <f t="shared" si="46"/>
        <v>106</v>
      </c>
      <c r="AI184" s="1">
        <f t="shared" si="53"/>
        <v>99</v>
      </c>
      <c r="AJ184" s="1" t="str">
        <f t="shared" si="54"/>
        <v>PAS DE DATE PAPIER</v>
      </c>
      <c r="AK184" s="1" t="str">
        <f t="shared" si="55"/>
        <v>PAS DE DATE CARTON</v>
      </c>
      <c r="AL184" s="1" t="str">
        <f t="shared" si="56"/>
        <v>PAS DE DATE FICHIER</v>
      </c>
      <c r="AM184" s="1">
        <f t="shared" si="57"/>
        <v>92</v>
      </c>
      <c r="AN184" s="1">
        <f t="shared" si="58"/>
        <v>7</v>
      </c>
      <c r="AO184" s="1">
        <f t="shared" si="61"/>
        <v>7</v>
      </c>
      <c r="AP184" s="1">
        <f t="shared" si="59"/>
        <v>4</v>
      </c>
      <c r="AQ184" s="1">
        <f t="shared" si="47"/>
        <v>22</v>
      </c>
      <c r="AR184" s="1">
        <f t="shared" si="60"/>
        <v>0</v>
      </c>
    </row>
    <row r="185" spans="1:44" x14ac:dyDescent="0.3">
      <c r="A185" s="1">
        <v>25246</v>
      </c>
      <c r="B185" s="1" t="s">
        <v>62</v>
      </c>
      <c r="C185" s="3" t="s">
        <v>292</v>
      </c>
      <c r="D185" s="4">
        <v>40</v>
      </c>
      <c r="E185" s="24">
        <f>_xlfn.XLOOKUP(A185,[1]PONCEBLANC!$Q:$Q,[1]PONCEBLANC!$J:$J,100,0)</f>
        <v>1756</v>
      </c>
      <c r="F185" s="2" t="s">
        <v>190</v>
      </c>
      <c r="G185" s="2">
        <v>45999</v>
      </c>
      <c r="H185" s="2">
        <v>46007</v>
      </c>
      <c r="I185" s="2">
        <v>46007</v>
      </c>
      <c r="J185" s="2">
        <v>46013</v>
      </c>
      <c r="K185" s="2">
        <v>46040</v>
      </c>
      <c r="P185" s="2">
        <v>46042</v>
      </c>
      <c r="Q185" s="2">
        <v>46044</v>
      </c>
      <c r="R185" s="2">
        <v>46080</v>
      </c>
      <c r="S185" s="2">
        <v>46066</v>
      </c>
      <c r="T185" s="2">
        <v>46066</v>
      </c>
      <c r="U185" s="1">
        <v>1</v>
      </c>
      <c r="Y185" s="1">
        <f t="shared" si="48"/>
        <v>49</v>
      </c>
      <c r="Z185" s="1">
        <f t="shared" si="49"/>
        <v>6</v>
      </c>
      <c r="AA185" s="1">
        <f t="shared" si="42"/>
        <v>43</v>
      </c>
      <c r="AB185" s="1">
        <f t="shared" si="43"/>
        <v>43</v>
      </c>
      <c r="AC185" s="1">
        <f t="shared" si="44"/>
        <v>-12</v>
      </c>
      <c r="AD185" s="1">
        <f t="shared" si="50"/>
        <v>25</v>
      </c>
      <c r="AE185" s="1">
        <f t="shared" si="45"/>
        <v>0</v>
      </c>
      <c r="AF185" s="1">
        <f t="shared" si="51"/>
        <v>4</v>
      </c>
      <c r="AG185" s="1">
        <f t="shared" si="52"/>
        <v>21</v>
      </c>
      <c r="AH185" s="1">
        <f t="shared" si="46"/>
        <v>27</v>
      </c>
      <c r="AI185" s="1" t="str">
        <f t="shared" si="53"/>
        <v>PAS DE DATE IMPRESSION</v>
      </c>
      <c r="AJ185" s="1" t="str">
        <f t="shared" si="54"/>
        <v>PAS DE DATE PAPIER</v>
      </c>
      <c r="AK185" s="1" t="str">
        <f t="shared" si="55"/>
        <v>PAS DE DATE CARTON</v>
      </c>
      <c r="AL185" s="1">
        <f t="shared" si="56"/>
        <v>23</v>
      </c>
      <c r="AM185" s="1" t="str">
        <f t="shared" si="57"/>
        <v>PAS DE DATE VALIDATION MODELE CLIENT</v>
      </c>
      <c r="AN185" s="1" t="str">
        <f t="shared" si="58"/>
        <v>PAS DE DATE IMPRESSION</v>
      </c>
      <c r="AO185" s="1" t="str">
        <f t="shared" si="61"/>
        <v>PAS D'IMPRESSION</v>
      </c>
      <c r="AP185" s="1">
        <f t="shared" si="59"/>
        <v>2</v>
      </c>
      <c r="AQ185" s="1">
        <f t="shared" si="47"/>
        <v>16</v>
      </c>
      <c r="AR185" s="1">
        <f t="shared" si="60"/>
        <v>0</v>
      </c>
    </row>
    <row r="186" spans="1:44" x14ac:dyDescent="0.3">
      <c r="A186" s="1">
        <v>25247</v>
      </c>
      <c r="B186" s="1" t="s">
        <v>293</v>
      </c>
      <c r="C186" s="3" t="s">
        <v>294</v>
      </c>
      <c r="D186" s="4">
        <v>1500</v>
      </c>
      <c r="E186" s="24">
        <f>_xlfn.XLOOKUP(A186,[1]PONCEBLANC!$Q:$Q,[1]PONCEBLANC!$J:$J,100,0)</f>
        <v>25349.999999999996</v>
      </c>
      <c r="F186" s="2" t="s">
        <v>149</v>
      </c>
      <c r="G186" s="2">
        <v>45939</v>
      </c>
      <c r="H186" s="2">
        <v>46009</v>
      </c>
      <c r="I186" s="2">
        <v>45999</v>
      </c>
      <c r="O186" s="2">
        <v>46058</v>
      </c>
      <c r="Y186" s="1" t="str">
        <f t="shared" si="48"/>
        <v>DATE MANQUANTE</v>
      </c>
      <c r="Z186" s="1">
        <f t="shared" si="49"/>
        <v>50</v>
      </c>
      <c r="AA186" s="1" t="str">
        <f t="shared" si="42"/>
        <v>NON LIVRE</v>
      </c>
      <c r="AB186" s="1" t="str">
        <f t="shared" si="43"/>
        <v>NON LIVRE</v>
      </c>
      <c r="AC186" s="1" t="str">
        <f t="shared" si="44"/>
        <v>NON LIVRE</v>
      </c>
      <c r="AD186" s="1" t="str">
        <f t="shared" si="50"/>
        <v>NON LIVRE</v>
      </c>
      <c r="AE186" s="1" t="str">
        <f t="shared" si="45"/>
        <v>NON LIVRE</v>
      </c>
      <c r="AF186" s="1" t="str">
        <f t="shared" si="51"/>
        <v>NON LIVRE</v>
      </c>
      <c r="AG186" s="1" t="str">
        <f t="shared" si="52"/>
        <v>NON LIVRE</v>
      </c>
      <c r="AH186" s="1" t="str">
        <f t="shared" si="46"/>
        <v>NON LIVRE</v>
      </c>
      <c r="AI186" s="1" t="str">
        <f t="shared" si="53"/>
        <v>NON LIVRE</v>
      </c>
      <c r="AJ186" s="1" t="str">
        <f t="shared" si="54"/>
        <v>NON LIVRE</v>
      </c>
      <c r="AK186" s="1" t="str">
        <f t="shared" si="55"/>
        <v>NON LIVRE</v>
      </c>
      <c r="AL186" s="1" t="str">
        <f t="shared" si="56"/>
        <v>NON LIVRE</v>
      </c>
      <c r="AM186" s="1" t="str">
        <f t="shared" si="57"/>
        <v>NON LIVRE</v>
      </c>
      <c r="AN186" s="1" t="str">
        <f t="shared" si="58"/>
        <v>NON LIVRE</v>
      </c>
      <c r="AO186" s="1" t="str">
        <f t="shared" si="61"/>
        <v>NON LIVRE</v>
      </c>
      <c r="AP186" s="1" t="str">
        <f t="shared" si="59"/>
        <v>NON LIVRE</v>
      </c>
      <c r="AQ186" s="1" t="str">
        <f t="shared" si="47"/>
        <v>NON LIVRE</v>
      </c>
      <c r="AR186" s="1" t="str">
        <f t="shared" si="60"/>
        <v>NON LIVRE</v>
      </c>
    </row>
    <row r="187" spans="1:44" x14ac:dyDescent="0.3">
      <c r="A187" s="1">
        <v>25248</v>
      </c>
      <c r="B187" s="1" t="s">
        <v>35</v>
      </c>
      <c r="C187" s="3" t="s">
        <v>295</v>
      </c>
      <c r="D187" s="4">
        <v>1500</v>
      </c>
      <c r="E187" s="24">
        <f>_xlfn.XLOOKUP(A187,[1]PONCEBLANC!$Q:$Q,[1]PONCEBLANC!$J:$J,100,0)</f>
        <v>34950</v>
      </c>
      <c r="F187" s="2" t="s">
        <v>156</v>
      </c>
      <c r="G187" s="2">
        <v>46001</v>
      </c>
      <c r="H187" s="2">
        <v>46009</v>
      </c>
      <c r="I187" s="2">
        <v>46015</v>
      </c>
      <c r="J187" s="2">
        <v>46112</v>
      </c>
      <c r="K187" s="2">
        <v>46080</v>
      </c>
      <c r="L187" s="2">
        <v>46094</v>
      </c>
      <c r="N187" s="2">
        <v>46114</v>
      </c>
      <c r="O187" s="2">
        <v>46058</v>
      </c>
      <c r="P187" s="2">
        <v>46175</v>
      </c>
      <c r="Q187" s="2">
        <v>46114</v>
      </c>
      <c r="R187" s="2">
        <v>46150</v>
      </c>
      <c r="S187" s="2">
        <v>46142</v>
      </c>
      <c r="T187" s="2">
        <v>46192</v>
      </c>
      <c r="U187" s="1">
        <v>6</v>
      </c>
      <c r="Y187" s="1">
        <f t="shared" si="48"/>
        <v>137</v>
      </c>
      <c r="Z187" s="1">
        <f t="shared" si="49"/>
        <v>6</v>
      </c>
      <c r="AA187" s="1">
        <f t="shared" si="42"/>
        <v>131</v>
      </c>
      <c r="AB187" s="1">
        <f t="shared" si="43"/>
        <v>95</v>
      </c>
      <c r="AC187" s="1">
        <f t="shared" si="44"/>
        <v>-8</v>
      </c>
      <c r="AD187" s="1">
        <f t="shared" si="50"/>
        <v>118</v>
      </c>
      <c r="AE187" s="1">
        <f t="shared" si="45"/>
        <v>4</v>
      </c>
      <c r="AF187" s="1">
        <f t="shared" si="51"/>
        <v>69</v>
      </c>
      <c r="AG187" s="1">
        <f t="shared" si="52"/>
        <v>45</v>
      </c>
      <c r="AH187" s="1">
        <f t="shared" si="46"/>
        <v>75</v>
      </c>
      <c r="AI187" s="1">
        <f t="shared" si="53"/>
        <v>75</v>
      </c>
      <c r="AJ187" s="1" t="str">
        <f t="shared" si="54"/>
        <v>PAS DE DATE PAPIER</v>
      </c>
      <c r="AK187" s="1">
        <f t="shared" si="55"/>
        <v>35</v>
      </c>
      <c r="AL187" s="1">
        <f t="shared" si="56"/>
        <v>51</v>
      </c>
      <c r="AM187" s="1">
        <f t="shared" si="57"/>
        <v>61</v>
      </c>
      <c r="AN187" s="1">
        <f t="shared" si="58"/>
        <v>14</v>
      </c>
      <c r="AO187" s="1">
        <f t="shared" si="61"/>
        <v>0</v>
      </c>
      <c r="AP187" s="1">
        <f t="shared" si="59"/>
        <v>43</v>
      </c>
      <c r="AQ187" s="1">
        <f t="shared" si="47"/>
        <v>-25</v>
      </c>
      <c r="AR187" s="1">
        <f t="shared" si="60"/>
        <v>36</v>
      </c>
    </row>
    <row r="188" spans="1:44" x14ac:dyDescent="0.3">
      <c r="A188" s="1">
        <v>25249</v>
      </c>
      <c r="B188" s="1" t="s">
        <v>91</v>
      </c>
      <c r="C188" s="3" t="s">
        <v>296</v>
      </c>
      <c r="D188" s="4">
        <v>7940</v>
      </c>
      <c r="E188" s="24">
        <f>_xlfn.XLOOKUP(A188,[1]PONCEBLANC!$Q:$Q,[1]PONCEBLANC!$J:$J,100,0)</f>
        <v>69360</v>
      </c>
      <c r="F188" s="2" t="s">
        <v>134</v>
      </c>
      <c r="G188" s="2">
        <v>45973</v>
      </c>
      <c r="H188" s="2">
        <v>46009</v>
      </c>
      <c r="I188" s="2">
        <v>46014</v>
      </c>
      <c r="J188" s="2">
        <v>46100</v>
      </c>
      <c r="K188" s="2">
        <v>46092</v>
      </c>
      <c r="L188" s="2">
        <v>46079</v>
      </c>
      <c r="M188" s="2" t="s">
        <v>334</v>
      </c>
      <c r="N188" s="2">
        <v>46113</v>
      </c>
      <c r="O188" s="2">
        <v>46058</v>
      </c>
      <c r="P188" s="2">
        <v>46108</v>
      </c>
      <c r="Q188" s="2">
        <v>46115</v>
      </c>
      <c r="R188" s="2">
        <v>46142</v>
      </c>
      <c r="S188" s="2">
        <v>46136</v>
      </c>
      <c r="T188" s="2">
        <v>46136</v>
      </c>
      <c r="U188" s="1">
        <v>2</v>
      </c>
      <c r="Y188" s="1">
        <f t="shared" si="48"/>
        <v>117</v>
      </c>
      <c r="Z188" s="1">
        <f t="shared" si="49"/>
        <v>26</v>
      </c>
      <c r="AA188" s="1">
        <f t="shared" si="42"/>
        <v>91</v>
      </c>
      <c r="AB188" s="1">
        <f t="shared" si="43"/>
        <v>91</v>
      </c>
      <c r="AC188" s="1">
        <f t="shared" si="44"/>
        <v>-6</v>
      </c>
      <c r="AD188" s="1">
        <f t="shared" si="50"/>
        <v>71</v>
      </c>
      <c r="AE188" s="1">
        <f t="shared" si="45"/>
        <v>3</v>
      </c>
      <c r="AF188" s="1">
        <f t="shared" si="51"/>
        <v>62</v>
      </c>
      <c r="AG188" s="1">
        <f t="shared" si="52"/>
        <v>6</v>
      </c>
      <c r="AH188" s="1">
        <f t="shared" si="46"/>
        <v>76</v>
      </c>
      <c r="AI188" s="1">
        <f t="shared" si="53"/>
        <v>74</v>
      </c>
      <c r="AJ188" s="1" t="str">
        <f t="shared" si="54"/>
        <v>X</v>
      </c>
      <c r="AK188" s="1">
        <f t="shared" si="55"/>
        <v>35</v>
      </c>
      <c r="AL188" s="1">
        <f t="shared" si="56"/>
        <v>59</v>
      </c>
      <c r="AM188" s="1">
        <f t="shared" si="57"/>
        <v>50</v>
      </c>
      <c r="AN188" s="1">
        <f t="shared" si="58"/>
        <v>15</v>
      </c>
      <c r="AO188" s="1">
        <f t="shared" si="61"/>
        <v>2</v>
      </c>
      <c r="AP188" s="1">
        <f t="shared" si="59"/>
        <v>5</v>
      </c>
      <c r="AQ188" s="1">
        <f t="shared" si="47"/>
        <v>15</v>
      </c>
      <c r="AR188" s="1">
        <f t="shared" si="60"/>
        <v>0</v>
      </c>
    </row>
    <row r="189" spans="1:44" x14ac:dyDescent="0.3">
      <c r="A189" s="1">
        <v>25250</v>
      </c>
      <c r="B189" s="1" t="s">
        <v>91</v>
      </c>
      <c r="C189" s="3" t="s">
        <v>297</v>
      </c>
      <c r="D189" s="4">
        <v>2700</v>
      </c>
      <c r="E189" s="24">
        <f>_xlfn.XLOOKUP(A189,[1]PONCEBLANC!$Q:$Q,[1]PONCEBLANC!$J:$J,100,0)</f>
        <v>15794.999999999998</v>
      </c>
      <c r="F189" s="2" t="s">
        <v>136</v>
      </c>
      <c r="G189" s="2">
        <v>45973</v>
      </c>
      <c r="H189" s="2">
        <v>46009</v>
      </c>
      <c r="I189" s="2">
        <v>46014</v>
      </c>
      <c r="J189" s="2">
        <v>46099</v>
      </c>
      <c r="K189" s="2">
        <v>46093</v>
      </c>
      <c r="L189" s="2">
        <v>46079</v>
      </c>
      <c r="M189" s="2" t="s">
        <v>334</v>
      </c>
      <c r="N189" s="2">
        <v>46106</v>
      </c>
      <c r="O189" s="2">
        <v>46058</v>
      </c>
      <c r="P189" s="2">
        <v>46122</v>
      </c>
      <c r="Q189" s="2">
        <v>46121</v>
      </c>
      <c r="R189" s="2">
        <v>46157</v>
      </c>
      <c r="S189" s="2">
        <v>46150</v>
      </c>
      <c r="T189" s="2">
        <v>46150</v>
      </c>
      <c r="U189" s="1">
        <v>1</v>
      </c>
      <c r="Y189" s="1">
        <f t="shared" si="48"/>
        <v>127</v>
      </c>
      <c r="Z189" s="1">
        <f t="shared" si="49"/>
        <v>26</v>
      </c>
      <c r="AA189" s="1">
        <f t="shared" si="42"/>
        <v>101</v>
      </c>
      <c r="AB189" s="1">
        <f t="shared" si="43"/>
        <v>101</v>
      </c>
      <c r="AC189" s="1">
        <f t="shared" si="44"/>
        <v>-7</v>
      </c>
      <c r="AD189" s="1">
        <f t="shared" si="50"/>
        <v>81</v>
      </c>
      <c r="AE189" s="1">
        <f t="shared" si="45"/>
        <v>3</v>
      </c>
      <c r="AF189" s="1">
        <f t="shared" si="51"/>
        <v>61</v>
      </c>
      <c r="AG189" s="1">
        <f t="shared" si="52"/>
        <v>17</v>
      </c>
      <c r="AH189" s="1">
        <f t="shared" si="46"/>
        <v>80</v>
      </c>
      <c r="AI189" s="1">
        <f t="shared" si="53"/>
        <v>69</v>
      </c>
      <c r="AJ189" s="1" t="str">
        <f t="shared" si="54"/>
        <v>X</v>
      </c>
      <c r="AK189" s="1">
        <f t="shared" si="55"/>
        <v>35</v>
      </c>
      <c r="AL189" s="1">
        <f t="shared" si="56"/>
        <v>60</v>
      </c>
      <c r="AM189" s="1">
        <f t="shared" si="57"/>
        <v>50</v>
      </c>
      <c r="AN189" s="1">
        <f t="shared" si="58"/>
        <v>9</v>
      </c>
      <c r="AO189" s="1">
        <f t="shared" si="61"/>
        <v>11</v>
      </c>
      <c r="AP189" s="1">
        <f t="shared" si="59"/>
        <v>1</v>
      </c>
      <c r="AQ189" s="1">
        <f t="shared" si="47"/>
        <v>20</v>
      </c>
      <c r="AR189" s="1">
        <f t="shared" si="60"/>
        <v>0</v>
      </c>
    </row>
    <row r="190" spans="1:44" x14ac:dyDescent="0.3">
      <c r="A190" s="1">
        <v>25251</v>
      </c>
      <c r="B190" s="1" t="s">
        <v>91</v>
      </c>
      <c r="C190" s="3" t="s">
        <v>298</v>
      </c>
      <c r="D190" s="4">
        <v>3120</v>
      </c>
      <c r="E190" s="24">
        <f>_xlfn.XLOOKUP(A190,[1]PONCEBLANC!$Q:$Q,[1]PONCEBLANC!$J:$J,100,0)</f>
        <v>26083.199999999997</v>
      </c>
      <c r="F190" s="2" t="s">
        <v>134</v>
      </c>
      <c r="G190" s="2">
        <v>45973</v>
      </c>
      <c r="H190" s="2">
        <v>46009</v>
      </c>
      <c r="I190" s="2">
        <v>46014</v>
      </c>
      <c r="J190" s="2">
        <v>46071</v>
      </c>
      <c r="K190" s="2">
        <v>46085</v>
      </c>
      <c r="L190" s="2">
        <v>46079</v>
      </c>
      <c r="M190" s="2" t="s">
        <v>334</v>
      </c>
      <c r="N190" s="2">
        <v>46099</v>
      </c>
      <c r="O190" s="2">
        <v>46058</v>
      </c>
      <c r="P190" s="2">
        <v>46108</v>
      </c>
      <c r="Q190" s="2">
        <v>46107</v>
      </c>
      <c r="R190" s="2">
        <v>46136</v>
      </c>
      <c r="S190" s="2">
        <v>46129</v>
      </c>
      <c r="T190" s="2">
        <v>46136</v>
      </c>
      <c r="U190" s="1">
        <v>2</v>
      </c>
      <c r="Y190" s="1">
        <f t="shared" si="48"/>
        <v>117</v>
      </c>
      <c r="Z190" s="1">
        <f t="shared" si="49"/>
        <v>26</v>
      </c>
      <c r="AA190" s="1">
        <f t="shared" si="42"/>
        <v>91</v>
      </c>
      <c r="AB190" s="1">
        <f t="shared" si="43"/>
        <v>86</v>
      </c>
      <c r="AC190" s="1">
        <f t="shared" si="44"/>
        <v>-7</v>
      </c>
      <c r="AD190" s="1">
        <f t="shared" si="50"/>
        <v>71</v>
      </c>
      <c r="AE190" s="1">
        <f t="shared" si="45"/>
        <v>3</v>
      </c>
      <c r="AF190" s="1">
        <f t="shared" si="51"/>
        <v>41</v>
      </c>
      <c r="AG190" s="1">
        <f t="shared" si="52"/>
        <v>27</v>
      </c>
      <c r="AH190" s="1">
        <f t="shared" si="46"/>
        <v>70</v>
      </c>
      <c r="AI190" s="1">
        <f t="shared" si="53"/>
        <v>64</v>
      </c>
      <c r="AJ190" s="1" t="str">
        <f t="shared" si="54"/>
        <v>X</v>
      </c>
      <c r="AK190" s="1">
        <f t="shared" si="55"/>
        <v>35</v>
      </c>
      <c r="AL190" s="1">
        <f t="shared" si="56"/>
        <v>54</v>
      </c>
      <c r="AM190" s="1">
        <f t="shared" si="57"/>
        <v>50</v>
      </c>
      <c r="AN190" s="1">
        <f t="shared" si="58"/>
        <v>10</v>
      </c>
      <c r="AO190" s="1">
        <f t="shared" si="61"/>
        <v>6</v>
      </c>
      <c r="AP190" s="1">
        <f t="shared" si="59"/>
        <v>1</v>
      </c>
      <c r="AQ190" s="1">
        <f t="shared" si="47"/>
        <v>15</v>
      </c>
      <c r="AR190" s="1">
        <f t="shared" si="60"/>
        <v>5</v>
      </c>
    </row>
    <row r="191" spans="1:44" x14ac:dyDescent="0.3">
      <c r="A191" s="1">
        <v>25252</v>
      </c>
      <c r="B191" s="1" t="s">
        <v>91</v>
      </c>
      <c r="C191" s="3" t="s">
        <v>299</v>
      </c>
      <c r="D191" s="4">
        <v>5390</v>
      </c>
      <c r="E191" s="24">
        <f>_xlfn.XLOOKUP(A191,[1]PONCEBLANC!$Q:$Q,[1]PONCEBLANC!$J:$J,100,0)</f>
        <v>27219.5</v>
      </c>
      <c r="F191" s="2" t="s">
        <v>136</v>
      </c>
      <c r="G191" s="2">
        <v>45973</v>
      </c>
      <c r="H191" s="2">
        <v>46009</v>
      </c>
      <c r="I191" s="2">
        <v>46014</v>
      </c>
      <c r="J191" s="2">
        <v>46083</v>
      </c>
      <c r="K191" s="2">
        <v>46132</v>
      </c>
      <c r="L191" s="2">
        <v>46085</v>
      </c>
      <c r="M191" s="2">
        <v>46104</v>
      </c>
      <c r="N191" s="2">
        <v>46128</v>
      </c>
      <c r="O191" s="2">
        <v>46058</v>
      </c>
      <c r="P191" s="2">
        <v>46120</v>
      </c>
      <c r="Q191" s="2">
        <v>46121</v>
      </c>
      <c r="R191" s="2">
        <v>46164</v>
      </c>
      <c r="S191" s="2">
        <v>46150</v>
      </c>
      <c r="T191" s="2">
        <v>46157</v>
      </c>
      <c r="U191" s="1">
        <v>2</v>
      </c>
      <c r="Y191" s="1">
        <f t="shared" si="48"/>
        <v>132</v>
      </c>
      <c r="Z191" s="1">
        <f t="shared" si="49"/>
        <v>26</v>
      </c>
      <c r="AA191" s="1">
        <f t="shared" ref="AA191:AA255" si="62">IF($T191="","NON LIVRE",NETWORKDAYS($H191,$T191)-1)</f>
        <v>106</v>
      </c>
      <c r="AB191" s="1">
        <f t="shared" ref="AB191:AB255" si="63">IF($S191="","NON LIVRE",NETWORKDAYS($H191,$S191)-1)</f>
        <v>101</v>
      </c>
      <c r="AC191" s="1">
        <f t="shared" ref="AC191:AC255" si="64">IF($S191="","NON LIVRE",NETWORKDAYS($R191,$S191)-1)</f>
        <v>-12</v>
      </c>
      <c r="AD191" s="1">
        <f t="shared" si="50"/>
        <v>79</v>
      </c>
      <c r="AE191" s="1">
        <f t="shared" ref="AE191:AE255" si="65">IFERROR(IF($T191="","NON LIVRE",IF($I191="","PAS DE COMMANDE MATIERE",NETWORKDAYS($H191,$I191)-1)),$I191)</f>
        <v>3</v>
      </c>
      <c r="AF191" s="1">
        <f t="shared" si="51"/>
        <v>49</v>
      </c>
      <c r="AG191" s="1">
        <f t="shared" si="52"/>
        <v>27</v>
      </c>
      <c r="AH191" s="1">
        <f t="shared" ref="AH191:AH255" si="66">IFERROR(IF($T191="","NON LIVRE",IF($Q191="","PAS DE DEPART TIRAGES OU ACHATS",NETWORKDAYS($H191,$Q191)-1)),$Q191)</f>
        <v>80</v>
      </c>
      <c r="AI191" s="1">
        <f t="shared" si="53"/>
        <v>85</v>
      </c>
      <c r="AJ191" s="1">
        <f t="shared" si="54"/>
        <v>67</v>
      </c>
      <c r="AK191" s="1">
        <f t="shared" si="55"/>
        <v>35</v>
      </c>
      <c r="AL191" s="1">
        <f t="shared" si="56"/>
        <v>87</v>
      </c>
      <c r="AM191" s="1">
        <f t="shared" si="57"/>
        <v>54</v>
      </c>
      <c r="AN191" s="1">
        <f t="shared" si="58"/>
        <v>-4</v>
      </c>
      <c r="AO191" s="1">
        <f t="shared" si="61"/>
        <v>-7</v>
      </c>
      <c r="AP191" s="1">
        <f t="shared" si="59"/>
        <v>1</v>
      </c>
      <c r="AQ191" s="1">
        <f t="shared" si="47"/>
        <v>21</v>
      </c>
      <c r="AR191" s="1">
        <f t="shared" si="60"/>
        <v>5</v>
      </c>
    </row>
    <row r="192" spans="1:44" x14ac:dyDescent="0.3">
      <c r="A192" s="1">
        <v>25253</v>
      </c>
      <c r="B192" s="1" t="s">
        <v>60</v>
      </c>
      <c r="C192" s="3" t="s">
        <v>336</v>
      </c>
      <c r="E192" s="24">
        <f>_xlfn.XLOOKUP(A192,[1]PONCEBLANC!$Q:$Q,[1]PONCEBLANC!$J:$J,100,0)</f>
        <v>100</v>
      </c>
      <c r="G192" s="2" t="s">
        <v>450</v>
      </c>
      <c r="H192" s="2">
        <v>46014</v>
      </c>
      <c r="I192" s="2">
        <v>46042</v>
      </c>
      <c r="J192" s="2">
        <v>46042</v>
      </c>
      <c r="K192" s="2">
        <v>46030</v>
      </c>
      <c r="N192" s="2">
        <v>46066</v>
      </c>
      <c r="O192" s="2">
        <v>46058</v>
      </c>
      <c r="P192" s="2">
        <v>46051</v>
      </c>
      <c r="Q192" s="2">
        <v>46066</v>
      </c>
      <c r="R192" s="2">
        <v>46094</v>
      </c>
      <c r="S192" s="2">
        <v>46101</v>
      </c>
      <c r="T192" s="2">
        <v>46101</v>
      </c>
      <c r="U192" s="1">
        <v>1</v>
      </c>
      <c r="Y192" s="1" t="str">
        <f t="shared" si="48"/>
        <v>DATE MANQUANTE</v>
      </c>
      <c r="Z192" s="1" t="str">
        <f t="shared" si="49"/>
        <v>DATE MANQUANTE</v>
      </c>
      <c r="AA192" s="1">
        <f t="shared" si="62"/>
        <v>63</v>
      </c>
      <c r="AB192" s="1">
        <f t="shared" si="63"/>
        <v>63</v>
      </c>
      <c r="AC192" s="1">
        <f t="shared" si="64"/>
        <v>5</v>
      </c>
      <c r="AD192" s="1">
        <f t="shared" si="50"/>
        <v>27</v>
      </c>
      <c r="AE192" s="1">
        <f t="shared" si="65"/>
        <v>20</v>
      </c>
      <c r="AF192" s="1">
        <f t="shared" si="51"/>
        <v>0</v>
      </c>
      <c r="AG192" s="1">
        <f t="shared" si="52"/>
        <v>7</v>
      </c>
      <c r="AH192" s="1">
        <f t="shared" si="66"/>
        <v>38</v>
      </c>
      <c r="AI192" s="1">
        <f t="shared" si="53"/>
        <v>38</v>
      </c>
      <c r="AJ192" s="1" t="str">
        <f t="shared" si="54"/>
        <v>PAS DE DATE PAPIER</v>
      </c>
      <c r="AK192" s="1">
        <f t="shared" si="55"/>
        <v>32</v>
      </c>
      <c r="AL192" s="1">
        <f t="shared" si="56"/>
        <v>12</v>
      </c>
      <c r="AM192" s="1" t="str">
        <f t="shared" si="57"/>
        <v>PAS DE DATE VALIDATION MODELE CLIENT</v>
      </c>
      <c r="AN192" s="1">
        <f t="shared" si="58"/>
        <v>26</v>
      </c>
      <c r="AO192" s="1">
        <f t="shared" si="61"/>
        <v>0</v>
      </c>
      <c r="AP192" s="1">
        <f t="shared" si="59"/>
        <v>11</v>
      </c>
      <c r="AQ192" s="1">
        <f t="shared" si="47"/>
        <v>25</v>
      </c>
      <c r="AR192" s="1">
        <f t="shared" si="60"/>
        <v>0</v>
      </c>
    </row>
    <row r="193" spans="1:44" s="7" customFormat="1" x14ac:dyDescent="0.3">
      <c r="A193" s="7">
        <v>26001</v>
      </c>
      <c r="B193" s="7" t="s">
        <v>337</v>
      </c>
      <c r="C193" s="8" t="s">
        <v>338</v>
      </c>
      <c r="D193" s="9"/>
      <c r="E193" s="24">
        <f>_xlfn.XLOOKUP(A193,[1]PONCEBLANC!$Q:$Q,[1]PONCEBLANC!$J:$J,100,0)</f>
        <v>100</v>
      </c>
      <c r="F193" s="10"/>
      <c r="G193" s="2" t="s">
        <v>450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V193" s="8"/>
      <c r="Y193" s="1" t="str">
        <f t="shared" si="48"/>
        <v>DATE MANQUANTE</v>
      </c>
      <c r="Z193" s="1" t="str">
        <f t="shared" si="49"/>
        <v>DATE MANQUANTE</v>
      </c>
      <c r="AA193" s="1" t="str">
        <f t="shared" si="62"/>
        <v>NON LIVRE</v>
      </c>
      <c r="AB193" s="1" t="str">
        <f t="shared" si="63"/>
        <v>NON LIVRE</v>
      </c>
      <c r="AC193" s="1" t="str">
        <f t="shared" si="64"/>
        <v>NON LIVRE</v>
      </c>
      <c r="AD193" s="1" t="str">
        <f t="shared" si="50"/>
        <v>NON LIVRE</v>
      </c>
      <c r="AE193" s="1" t="str">
        <f t="shared" si="65"/>
        <v>NON LIVRE</v>
      </c>
      <c r="AF193" s="1" t="str">
        <f t="shared" si="51"/>
        <v>NON LIVRE</v>
      </c>
      <c r="AG193" s="1" t="str">
        <f t="shared" si="52"/>
        <v>NON LIVRE</v>
      </c>
      <c r="AH193" s="1" t="str">
        <f t="shared" si="66"/>
        <v>NON LIVRE</v>
      </c>
      <c r="AI193" s="1" t="str">
        <f t="shared" si="53"/>
        <v>NON LIVRE</v>
      </c>
      <c r="AJ193" s="1" t="str">
        <f t="shared" si="54"/>
        <v>NON LIVRE</v>
      </c>
      <c r="AK193" s="1" t="str">
        <f t="shared" si="55"/>
        <v>NON LIVRE</v>
      </c>
      <c r="AL193" s="1" t="str">
        <f t="shared" si="56"/>
        <v>NON LIVRE</v>
      </c>
      <c r="AM193" s="1" t="str">
        <f t="shared" si="57"/>
        <v>NON LIVRE</v>
      </c>
      <c r="AN193" s="1" t="str">
        <f t="shared" si="58"/>
        <v>NON LIVRE</v>
      </c>
      <c r="AO193" s="1" t="str">
        <f t="shared" si="61"/>
        <v>NON LIVRE</v>
      </c>
      <c r="AP193" s="1" t="str">
        <f t="shared" si="59"/>
        <v>NON LIVRE</v>
      </c>
      <c r="AQ193" s="1" t="str">
        <f t="shared" si="47"/>
        <v>NON LIVRE</v>
      </c>
      <c r="AR193" s="1" t="str">
        <f t="shared" si="60"/>
        <v>NON LIVRE</v>
      </c>
    </row>
    <row r="194" spans="1:44" s="7" customFormat="1" x14ac:dyDescent="0.3">
      <c r="A194" s="7">
        <v>26002</v>
      </c>
      <c r="B194" s="7" t="s">
        <v>317</v>
      </c>
      <c r="C194" s="8" t="s">
        <v>338</v>
      </c>
      <c r="D194" s="9"/>
      <c r="E194" s="24">
        <f>_xlfn.XLOOKUP(A194,[1]PONCEBLANC!$Q:$Q,[1]PONCEBLANC!$J:$J,100,0)</f>
        <v>100</v>
      </c>
      <c r="F194" s="10"/>
      <c r="G194" s="2" t="s">
        <v>450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V194" s="8"/>
      <c r="Y194" s="1" t="str">
        <f t="shared" si="48"/>
        <v>DATE MANQUANTE</v>
      </c>
      <c r="Z194" s="1" t="str">
        <f t="shared" si="49"/>
        <v>DATE MANQUANTE</v>
      </c>
      <c r="AA194" s="1" t="str">
        <f t="shared" si="62"/>
        <v>NON LIVRE</v>
      </c>
      <c r="AB194" s="1" t="str">
        <f t="shared" si="63"/>
        <v>NON LIVRE</v>
      </c>
      <c r="AC194" s="1" t="str">
        <f t="shared" si="64"/>
        <v>NON LIVRE</v>
      </c>
      <c r="AD194" s="1" t="str">
        <f t="shared" si="50"/>
        <v>NON LIVRE</v>
      </c>
      <c r="AE194" s="1" t="str">
        <f t="shared" si="65"/>
        <v>NON LIVRE</v>
      </c>
      <c r="AF194" s="1" t="str">
        <f t="shared" si="51"/>
        <v>NON LIVRE</v>
      </c>
      <c r="AG194" s="1" t="str">
        <f t="shared" si="52"/>
        <v>NON LIVRE</v>
      </c>
      <c r="AH194" s="1" t="str">
        <f t="shared" si="66"/>
        <v>NON LIVRE</v>
      </c>
      <c r="AI194" s="1" t="str">
        <f t="shared" si="53"/>
        <v>NON LIVRE</v>
      </c>
      <c r="AJ194" s="1" t="str">
        <f t="shared" si="54"/>
        <v>NON LIVRE</v>
      </c>
      <c r="AK194" s="1" t="str">
        <f t="shared" si="55"/>
        <v>NON LIVRE</v>
      </c>
      <c r="AL194" s="1" t="str">
        <f t="shared" si="56"/>
        <v>NON LIVRE</v>
      </c>
      <c r="AM194" s="1" t="str">
        <f t="shared" si="57"/>
        <v>NON LIVRE</v>
      </c>
      <c r="AN194" s="1" t="str">
        <f t="shared" si="58"/>
        <v>NON LIVRE</v>
      </c>
      <c r="AO194" s="1" t="str">
        <f t="shared" si="61"/>
        <v>NON LIVRE</v>
      </c>
      <c r="AP194" s="1" t="str">
        <f t="shared" si="59"/>
        <v>NON LIVRE</v>
      </c>
      <c r="AQ194" s="1" t="str">
        <f t="shared" ref="AQ194:AQ257" si="67">IFERROR(IF($T194="","NON LIVRE",IF(MAX($P194,$Q194)=0,"PAS D'EXPEDITION DE MATIERE, D'IMPRESSION, OU D'ACHAT",NETWORKDAYS(MAX($P194,$Q194),$S194)-1)),"PAS D'EXPEDITION DE MATIERE, D'IMPRESSION, OU D'ACHAT")</f>
        <v>NON LIVRE</v>
      </c>
      <c r="AR194" s="1" t="str">
        <f t="shared" si="60"/>
        <v>NON LIVRE</v>
      </c>
    </row>
    <row r="195" spans="1:44" x14ac:dyDescent="0.3">
      <c r="A195" s="1">
        <v>26003</v>
      </c>
      <c r="B195" s="1" t="s">
        <v>73</v>
      </c>
      <c r="C195" s="3" t="s">
        <v>367</v>
      </c>
      <c r="E195" s="24">
        <f>_xlfn.XLOOKUP(A195,[1]PONCEBLANC!$Q:$Q,[1]PONCEBLANC!$J:$J,100,0)</f>
        <v>2504</v>
      </c>
      <c r="G195" s="2">
        <v>46006</v>
      </c>
      <c r="H195" s="2">
        <v>46037</v>
      </c>
      <c r="I195" s="2" t="s">
        <v>199</v>
      </c>
      <c r="J195" s="2">
        <v>46051</v>
      </c>
      <c r="K195" s="2">
        <v>46038</v>
      </c>
      <c r="L195" s="2" t="s">
        <v>315</v>
      </c>
      <c r="N195" s="2">
        <v>46052</v>
      </c>
      <c r="P195" s="2">
        <v>46051</v>
      </c>
      <c r="Q195" s="2">
        <v>46062</v>
      </c>
      <c r="R195" s="2">
        <v>46079</v>
      </c>
      <c r="S195" s="2">
        <v>46080</v>
      </c>
      <c r="T195" s="2">
        <v>46080</v>
      </c>
      <c r="U195" s="1">
        <v>1</v>
      </c>
      <c r="Y195" s="1">
        <f t="shared" ref="Y195:Y258" si="68">IF(OR($T195="",$G195=""),"DATE MANQUANTE",NETWORKDAYS($G195,$T195)-1)</f>
        <v>54</v>
      </c>
      <c r="Z195" s="1">
        <f t="shared" ref="Z195:Z258" si="69">IF(OR($H195="",$G195=""),"DATE MANQUANTE",NETWORKDAYS($G195,$H195)-1)</f>
        <v>23</v>
      </c>
      <c r="AA195" s="1">
        <f t="shared" si="62"/>
        <v>31</v>
      </c>
      <c r="AB195" s="1">
        <f t="shared" si="63"/>
        <v>31</v>
      </c>
      <c r="AC195" s="1">
        <f t="shared" si="64"/>
        <v>1</v>
      </c>
      <c r="AD195" s="1">
        <f t="shared" ref="AD195:AD258" si="70">IFERROR(IF($T195="","NON LIVRE",IF($P195="","PAS DE DEPART MATIERE",NETWORKDAYS($H195,$P195)-1)),$P195)</f>
        <v>10</v>
      </c>
      <c r="AE195" s="1" t="str">
        <f t="shared" si="65"/>
        <v>STOCK</v>
      </c>
      <c r="AF195" s="1">
        <f t="shared" ref="AF195:AF258" si="71">IFERROR(IF($T195="","NON LIVRE",IF($J195="","PAS DE COMMANDE MATIERE",NETWORKDAYS($I195,$J195)-1)),$J195)</f>
        <v>46051</v>
      </c>
      <c r="AG195" s="1">
        <f t="shared" ref="AG195:AG258" si="72">IFERROR(IF($T195="","NON LIVRE",IF($P195="","PAS DE COMMANDE MATIERE",NETWORKDAYS($J195,$P195)-1)),$P195)</f>
        <v>0</v>
      </c>
      <c r="AH195" s="1">
        <f t="shared" si="66"/>
        <v>17</v>
      </c>
      <c r="AI195" s="1">
        <f t="shared" ref="AI195:AI258" si="73">IFERROR(IF($T195="","NON LIVRE",IF($N195="","PAS DE DATE IMPRESSION",NETWORKDAYS($H195,$N195)-1)),$N195)</f>
        <v>11</v>
      </c>
      <c r="AJ195" s="1" t="str">
        <f t="shared" ref="AJ195:AJ258" si="74">IFERROR(IF($T195="","NON LIVRE",IF($M195="","PAS DE DATE PAPIER",NETWORKDAYS($H195,$M195)-1)),$M195)</f>
        <v>PAS DE DATE PAPIER</v>
      </c>
      <c r="AK195" s="1" t="str">
        <f t="shared" ref="AK195:AK258" si="75">IFERROR(IF($T195="","NON LIVRE",IF($O195="","PAS DE DATE CARTON",NETWORKDAYS($H195,$O195)-1)),$O195)</f>
        <v>PAS DE DATE CARTON</v>
      </c>
      <c r="AL195" s="1">
        <f t="shared" ref="AL195:AL258" si="76">IFERROR(IF($T195="","NON LIVRE",IF($K195="","PAS DE DATE FICHIER",NETWORKDAYS($H195,$K195)-1)),$K195)</f>
        <v>1</v>
      </c>
      <c r="AM195" s="1" t="str">
        <f t="shared" ref="AM195:AM258" si="77">IFERROR(IF($T195="","NON LIVRE",IF($L195="","PAS DE DATE VALIDATION MODELE CLIENT",NETWORKDAYS($H195,$L195)-1)),$L195)</f>
        <v>ANC FAB</v>
      </c>
      <c r="AN195" s="1">
        <f t="shared" ref="AN195:AN258" si="78">IFERROR(IF($T195="","NON LIVRE",IF($N195="","PAS DE DATE IMPRESSION",NETWORKDAYS(MAX($K195,$L195),$N195)-1)),$N195)</f>
        <v>10</v>
      </c>
      <c r="AO195" s="1">
        <f t="shared" si="61"/>
        <v>6</v>
      </c>
      <c r="AP195" s="1">
        <f t="shared" ref="AP195:AP258" si="79">IFERROR(IF($T195="","NON LIVRE",IF(MAX($P195,$Q195)=0,"PAS D'EXPEDITION DE MATIERE, D'IMPRESSION, OU D'ACHAT",NETWORKDAYS(MIN($P195,$Q195),MAX($P195,$Q195))-1)),"PAS D'EXPEDITION DE MATIERE, D'IMPRESSION, OU D'ACHAT")</f>
        <v>7</v>
      </c>
      <c r="AQ195" s="1">
        <f t="shared" si="67"/>
        <v>14</v>
      </c>
      <c r="AR195" s="1">
        <f t="shared" ref="AR195:AR254" si="80">IFERROR(IF($T195="","NON LIVRE",IF($P195="","PAS D'IMPRESSION",IF($Q195="","PAS DE DATE VALIDATION MODELE CLIENT",NETWORKDAYS($S195,T195)-1))),$Q195)</f>
        <v>0</v>
      </c>
    </row>
    <row r="196" spans="1:44" x14ac:dyDescent="0.3">
      <c r="A196" s="1">
        <v>26004</v>
      </c>
      <c r="E196" s="24">
        <f>_xlfn.XLOOKUP(A196,[1]PONCEBLANC!$Q:$Q,[1]PONCEBLANC!$J:$J,100,0)</f>
        <v>7235</v>
      </c>
      <c r="G196" s="2">
        <v>46035</v>
      </c>
      <c r="Y196" s="1" t="str">
        <f t="shared" si="68"/>
        <v>DATE MANQUANTE</v>
      </c>
      <c r="Z196" s="1" t="str">
        <f t="shared" si="69"/>
        <v>DATE MANQUANTE</v>
      </c>
      <c r="AA196" s="1" t="str">
        <f t="shared" si="62"/>
        <v>NON LIVRE</v>
      </c>
      <c r="AB196" s="1" t="str">
        <f t="shared" si="63"/>
        <v>NON LIVRE</v>
      </c>
      <c r="AC196" s="1" t="str">
        <f t="shared" si="64"/>
        <v>NON LIVRE</v>
      </c>
      <c r="AD196" s="1" t="str">
        <f t="shared" si="70"/>
        <v>NON LIVRE</v>
      </c>
      <c r="AE196" s="1" t="str">
        <f t="shared" si="65"/>
        <v>NON LIVRE</v>
      </c>
      <c r="AF196" s="1" t="str">
        <f t="shared" si="71"/>
        <v>NON LIVRE</v>
      </c>
      <c r="AG196" s="1" t="str">
        <f t="shared" si="72"/>
        <v>NON LIVRE</v>
      </c>
      <c r="AH196" s="1" t="str">
        <f t="shared" si="66"/>
        <v>NON LIVRE</v>
      </c>
      <c r="AI196" s="1" t="str">
        <f t="shared" si="73"/>
        <v>NON LIVRE</v>
      </c>
      <c r="AJ196" s="1" t="str">
        <f t="shared" si="74"/>
        <v>NON LIVRE</v>
      </c>
      <c r="AK196" s="1" t="str">
        <f t="shared" si="75"/>
        <v>NON LIVRE</v>
      </c>
      <c r="AL196" s="1" t="str">
        <f t="shared" si="76"/>
        <v>NON LIVRE</v>
      </c>
      <c r="AM196" s="1" t="str">
        <f t="shared" si="77"/>
        <v>NON LIVRE</v>
      </c>
      <c r="AN196" s="1" t="str">
        <f t="shared" si="78"/>
        <v>NON LIVRE</v>
      </c>
      <c r="AO196" s="1" t="str">
        <f t="shared" si="61"/>
        <v>NON LIVRE</v>
      </c>
      <c r="AP196" s="1" t="str">
        <f t="shared" si="79"/>
        <v>NON LIVRE</v>
      </c>
      <c r="AQ196" s="1" t="str">
        <f t="shared" si="67"/>
        <v>NON LIVRE</v>
      </c>
      <c r="AR196" s="1" t="str">
        <f t="shared" si="80"/>
        <v>NON LIVRE</v>
      </c>
    </row>
    <row r="197" spans="1:44" x14ac:dyDescent="0.3">
      <c r="A197" s="1">
        <v>26005</v>
      </c>
      <c r="B197" s="1" t="s">
        <v>73</v>
      </c>
      <c r="C197" s="3" t="s">
        <v>362</v>
      </c>
      <c r="D197" s="4">
        <v>600</v>
      </c>
      <c r="E197" s="24">
        <f>_xlfn.XLOOKUP(A197,[1]PONCEBLANC!$Q:$Q,[1]PONCEBLANC!$J:$J,100,0)</f>
        <v>100</v>
      </c>
      <c r="G197" s="2" t="s">
        <v>450</v>
      </c>
      <c r="H197" s="2">
        <v>46041</v>
      </c>
      <c r="J197" s="2">
        <v>46051</v>
      </c>
      <c r="K197" s="2">
        <v>46043</v>
      </c>
      <c r="L197" s="2">
        <v>46025</v>
      </c>
      <c r="N197" s="2">
        <v>46059</v>
      </c>
      <c r="O197" s="2" t="s">
        <v>199</v>
      </c>
      <c r="P197" s="2">
        <v>46051</v>
      </c>
      <c r="Q197" s="2">
        <v>46079</v>
      </c>
      <c r="R197" s="2">
        <v>46080</v>
      </c>
      <c r="S197" s="2">
        <v>46080</v>
      </c>
      <c r="T197" s="2">
        <v>46080</v>
      </c>
      <c r="U197" s="1">
        <v>1</v>
      </c>
      <c r="Y197" s="1" t="str">
        <f t="shared" si="68"/>
        <v>DATE MANQUANTE</v>
      </c>
      <c r="Z197" s="1" t="str">
        <f t="shared" si="69"/>
        <v>DATE MANQUANTE</v>
      </c>
      <c r="AA197" s="1">
        <f t="shared" si="62"/>
        <v>29</v>
      </c>
      <c r="AB197" s="1">
        <f t="shared" si="63"/>
        <v>29</v>
      </c>
      <c r="AC197" s="1">
        <f t="shared" si="64"/>
        <v>0</v>
      </c>
      <c r="AD197" s="1">
        <f t="shared" si="70"/>
        <v>8</v>
      </c>
      <c r="AE197" s="1" t="str">
        <f t="shared" si="65"/>
        <v>PAS DE COMMANDE MATIERE</v>
      </c>
      <c r="AF197" s="1">
        <f t="shared" si="71"/>
        <v>32893</v>
      </c>
      <c r="AG197" s="1">
        <f t="shared" si="72"/>
        <v>0</v>
      </c>
      <c r="AH197" s="1">
        <f t="shared" si="66"/>
        <v>28</v>
      </c>
      <c r="AI197" s="1">
        <f t="shared" si="73"/>
        <v>14</v>
      </c>
      <c r="AJ197" s="1" t="str">
        <f t="shared" si="74"/>
        <v>PAS DE DATE PAPIER</v>
      </c>
      <c r="AK197" s="1" t="str">
        <f t="shared" si="75"/>
        <v>STOCK</v>
      </c>
      <c r="AL197" s="1">
        <f t="shared" si="76"/>
        <v>2</v>
      </c>
      <c r="AM197" s="1">
        <f t="shared" si="77"/>
        <v>-12</v>
      </c>
      <c r="AN197" s="1">
        <f t="shared" si="78"/>
        <v>12</v>
      </c>
      <c r="AO197" s="1">
        <f t="shared" si="61"/>
        <v>14</v>
      </c>
      <c r="AP197" s="1">
        <f t="shared" si="79"/>
        <v>20</v>
      </c>
      <c r="AQ197" s="1">
        <f t="shared" si="67"/>
        <v>1</v>
      </c>
      <c r="AR197" s="1">
        <f t="shared" si="80"/>
        <v>0</v>
      </c>
    </row>
    <row r="198" spans="1:44" x14ac:dyDescent="0.3">
      <c r="A198" s="1">
        <v>26006</v>
      </c>
      <c r="B198" s="1" t="s">
        <v>51</v>
      </c>
      <c r="C198" s="3" t="s">
        <v>340</v>
      </c>
      <c r="D198" s="4">
        <v>5300</v>
      </c>
      <c r="E198" s="24">
        <f>_xlfn.XLOOKUP(A198,[1]PONCEBLANC!$Q:$Q,[1]PONCEBLANC!$J:$J,100,0)</f>
        <v>27029.999999999996</v>
      </c>
      <c r="G198" s="2">
        <v>46006</v>
      </c>
      <c r="H198" s="2">
        <v>46035</v>
      </c>
      <c r="I198" s="2">
        <v>46044</v>
      </c>
      <c r="J198" s="2">
        <v>46066</v>
      </c>
      <c r="K198" s="2">
        <v>46132</v>
      </c>
      <c r="N198" s="2">
        <v>46149</v>
      </c>
      <c r="O198" s="2">
        <v>46058</v>
      </c>
      <c r="R198" s="2">
        <v>46087</v>
      </c>
      <c r="S198" s="2">
        <v>46154</v>
      </c>
      <c r="T198" s="2">
        <v>46154</v>
      </c>
      <c r="U198" s="1">
        <v>3</v>
      </c>
      <c r="Y198" s="1">
        <f t="shared" si="68"/>
        <v>106</v>
      </c>
      <c r="Z198" s="1">
        <f t="shared" si="69"/>
        <v>21</v>
      </c>
      <c r="AA198" s="1">
        <f t="shared" si="62"/>
        <v>85</v>
      </c>
      <c r="AB198" s="1">
        <f t="shared" si="63"/>
        <v>85</v>
      </c>
      <c r="AC198" s="1">
        <f t="shared" si="64"/>
        <v>47</v>
      </c>
      <c r="AD198" s="1" t="str">
        <f t="shared" si="70"/>
        <v>PAS DE DEPART MATIERE</v>
      </c>
      <c r="AE198" s="1">
        <f t="shared" si="65"/>
        <v>7</v>
      </c>
      <c r="AF198" s="1">
        <f t="shared" si="71"/>
        <v>16</v>
      </c>
      <c r="AG198" s="1" t="str">
        <f t="shared" si="72"/>
        <v>PAS DE COMMANDE MATIERE</v>
      </c>
      <c r="AH198" s="1" t="str">
        <f t="shared" si="66"/>
        <v>PAS DE DEPART TIRAGES OU ACHATS</v>
      </c>
      <c r="AI198" s="1">
        <f t="shared" si="73"/>
        <v>82</v>
      </c>
      <c r="AJ198" s="1" t="str">
        <f t="shared" si="74"/>
        <v>PAS DE DATE PAPIER</v>
      </c>
      <c r="AK198" s="1">
        <f t="shared" si="75"/>
        <v>17</v>
      </c>
      <c r="AL198" s="1">
        <f t="shared" si="76"/>
        <v>69</v>
      </c>
      <c r="AM198" s="1" t="str">
        <f t="shared" si="77"/>
        <v>PAS DE DATE VALIDATION MODELE CLIENT</v>
      </c>
      <c r="AN198" s="1">
        <f t="shared" si="78"/>
        <v>13</v>
      </c>
      <c r="AO198" s="1" t="str">
        <f t="shared" si="61"/>
        <v>PAS DE DATE DEPART EN PROD TIRAGES ET ACHATS</v>
      </c>
      <c r="AP198" s="1" t="str">
        <f t="shared" si="79"/>
        <v>PAS D'EXPEDITION DE MATIERE, D'IMPRESSION, OU D'ACHAT</v>
      </c>
      <c r="AQ198" s="1" t="str">
        <f t="shared" si="67"/>
        <v>PAS D'EXPEDITION DE MATIERE, D'IMPRESSION, OU D'ACHAT</v>
      </c>
      <c r="AR198" s="1" t="str">
        <f t="shared" si="80"/>
        <v>PAS D'IMPRESSION</v>
      </c>
    </row>
    <row r="199" spans="1:44" x14ac:dyDescent="0.3">
      <c r="A199" s="1">
        <v>26007</v>
      </c>
      <c r="E199" s="24">
        <f>_xlfn.XLOOKUP(A199,[1]PONCEBLANC!$Q:$Q,[1]PONCEBLANC!$J:$J,100,0)</f>
        <v>14980</v>
      </c>
      <c r="G199" s="2">
        <v>46042</v>
      </c>
      <c r="Y199" s="1" t="str">
        <f t="shared" si="68"/>
        <v>DATE MANQUANTE</v>
      </c>
      <c r="Z199" s="1" t="str">
        <f t="shared" si="69"/>
        <v>DATE MANQUANTE</v>
      </c>
      <c r="AA199" s="1" t="str">
        <f t="shared" si="62"/>
        <v>NON LIVRE</v>
      </c>
      <c r="AB199" s="1" t="str">
        <f t="shared" si="63"/>
        <v>NON LIVRE</v>
      </c>
      <c r="AC199" s="1" t="str">
        <f t="shared" si="64"/>
        <v>NON LIVRE</v>
      </c>
      <c r="AD199" s="1" t="str">
        <f t="shared" si="70"/>
        <v>NON LIVRE</v>
      </c>
      <c r="AE199" s="1" t="str">
        <f t="shared" si="65"/>
        <v>NON LIVRE</v>
      </c>
      <c r="AF199" s="1" t="str">
        <f t="shared" si="71"/>
        <v>NON LIVRE</v>
      </c>
      <c r="AG199" s="1" t="str">
        <f t="shared" si="72"/>
        <v>NON LIVRE</v>
      </c>
      <c r="AH199" s="1" t="str">
        <f t="shared" si="66"/>
        <v>NON LIVRE</v>
      </c>
      <c r="AI199" s="1" t="str">
        <f t="shared" si="73"/>
        <v>NON LIVRE</v>
      </c>
      <c r="AJ199" s="1" t="str">
        <f t="shared" si="74"/>
        <v>NON LIVRE</v>
      </c>
      <c r="AK199" s="1" t="str">
        <f t="shared" si="75"/>
        <v>NON LIVRE</v>
      </c>
      <c r="AL199" s="1" t="str">
        <f t="shared" si="76"/>
        <v>NON LIVRE</v>
      </c>
      <c r="AM199" s="1" t="str">
        <f t="shared" si="77"/>
        <v>NON LIVRE</v>
      </c>
      <c r="AN199" s="1" t="str">
        <f t="shared" si="78"/>
        <v>NON LIVRE</v>
      </c>
      <c r="AO199" s="1" t="str">
        <f t="shared" si="61"/>
        <v>NON LIVRE</v>
      </c>
      <c r="AP199" s="1" t="str">
        <f t="shared" si="79"/>
        <v>NON LIVRE</v>
      </c>
      <c r="AQ199" s="1" t="str">
        <f t="shared" si="67"/>
        <v>NON LIVRE</v>
      </c>
      <c r="AR199" s="1" t="str">
        <f t="shared" si="80"/>
        <v>NON LIVRE</v>
      </c>
    </row>
    <row r="200" spans="1:44" x14ac:dyDescent="0.3">
      <c r="A200" s="1">
        <v>26008</v>
      </c>
      <c r="B200" s="1" t="s">
        <v>351</v>
      </c>
      <c r="C200" s="3" t="s">
        <v>352</v>
      </c>
      <c r="D200" s="4">
        <v>500</v>
      </c>
      <c r="E200" s="24">
        <f>_xlfn.XLOOKUP(A200,[1]PONCEBLANC!$Q:$Q,[1]PONCEBLANC!$J:$J,100,0)</f>
        <v>5310</v>
      </c>
      <c r="G200" s="2">
        <v>46006</v>
      </c>
      <c r="H200" s="2">
        <v>46042</v>
      </c>
      <c r="I200" s="2">
        <v>46049</v>
      </c>
      <c r="J200" s="2">
        <v>46069</v>
      </c>
      <c r="K200" s="2">
        <v>46069</v>
      </c>
      <c r="L200" s="2">
        <v>46085</v>
      </c>
      <c r="N200" s="2">
        <v>46076</v>
      </c>
      <c r="O200" s="2" t="s">
        <v>199</v>
      </c>
      <c r="P200" s="2">
        <v>46122</v>
      </c>
      <c r="Q200" s="2">
        <v>46101</v>
      </c>
      <c r="R200" s="2">
        <v>46122</v>
      </c>
      <c r="S200" s="2">
        <v>46122</v>
      </c>
      <c r="T200" s="2">
        <v>46129</v>
      </c>
      <c r="U200" s="1">
        <v>2</v>
      </c>
      <c r="Y200" s="1">
        <f t="shared" si="68"/>
        <v>89</v>
      </c>
      <c r="Z200" s="1">
        <f t="shared" si="69"/>
        <v>26</v>
      </c>
      <c r="AA200" s="1">
        <f t="shared" si="62"/>
        <v>63</v>
      </c>
      <c r="AB200" s="1">
        <f t="shared" si="63"/>
        <v>58</v>
      </c>
      <c r="AC200" s="1">
        <f t="shared" si="64"/>
        <v>0</v>
      </c>
      <c r="AD200" s="1">
        <f t="shared" si="70"/>
        <v>58</v>
      </c>
      <c r="AE200" s="1">
        <f t="shared" si="65"/>
        <v>5</v>
      </c>
      <c r="AF200" s="1">
        <f t="shared" si="71"/>
        <v>14</v>
      </c>
      <c r="AG200" s="1">
        <f t="shared" si="72"/>
        <v>39</v>
      </c>
      <c r="AH200" s="1">
        <f t="shared" si="66"/>
        <v>43</v>
      </c>
      <c r="AI200" s="1">
        <f t="shared" si="73"/>
        <v>24</v>
      </c>
      <c r="AJ200" s="1" t="str">
        <f t="shared" si="74"/>
        <v>PAS DE DATE PAPIER</v>
      </c>
      <c r="AK200" s="1" t="str">
        <f t="shared" si="75"/>
        <v>STOCK</v>
      </c>
      <c r="AL200" s="1">
        <f t="shared" si="76"/>
        <v>19</v>
      </c>
      <c r="AM200" s="1">
        <f t="shared" si="77"/>
        <v>31</v>
      </c>
      <c r="AN200" s="1">
        <f t="shared" si="78"/>
        <v>-9</v>
      </c>
      <c r="AO200" s="1">
        <f t="shared" si="61"/>
        <v>19</v>
      </c>
      <c r="AP200" s="1">
        <f t="shared" si="79"/>
        <v>15</v>
      </c>
      <c r="AQ200" s="1">
        <f t="shared" si="67"/>
        <v>0</v>
      </c>
      <c r="AR200" s="1">
        <f t="shared" si="80"/>
        <v>5</v>
      </c>
    </row>
    <row r="201" spans="1:44" x14ac:dyDescent="0.3">
      <c r="A201" s="1">
        <v>26009</v>
      </c>
      <c r="B201" s="1" t="s">
        <v>34</v>
      </c>
      <c r="C201" s="3" t="s">
        <v>368</v>
      </c>
      <c r="D201" s="4">
        <v>300</v>
      </c>
      <c r="E201" s="24">
        <f>_xlfn.XLOOKUP(A201,[1]PONCEBLANC!$Q:$Q,[1]PONCEBLANC!$J:$J,100,0)</f>
        <v>1299</v>
      </c>
      <c r="G201" s="2">
        <v>45992</v>
      </c>
      <c r="H201" s="2">
        <v>46042</v>
      </c>
      <c r="I201" s="2">
        <v>46045</v>
      </c>
      <c r="J201" s="2">
        <v>46055</v>
      </c>
      <c r="L201" s="2">
        <v>46049</v>
      </c>
      <c r="N201" s="2">
        <v>46049</v>
      </c>
      <c r="P201" s="2">
        <v>46059</v>
      </c>
      <c r="Q201" s="2">
        <v>46062</v>
      </c>
      <c r="R201" s="2">
        <v>46080</v>
      </c>
      <c r="S201" s="2">
        <v>46080</v>
      </c>
      <c r="T201" s="2">
        <v>46080</v>
      </c>
      <c r="U201" s="1">
        <v>1</v>
      </c>
      <c r="Y201" s="1">
        <f t="shared" si="68"/>
        <v>64</v>
      </c>
      <c r="Z201" s="1">
        <f t="shared" si="69"/>
        <v>36</v>
      </c>
      <c r="AA201" s="1">
        <f t="shared" si="62"/>
        <v>28</v>
      </c>
      <c r="AB201" s="1">
        <f t="shared" si="63"/>
        <v>28</v>
      </c>
      <c r="AC201" s="1">
        <f t="shared" si="64"/>
        <v>0</v>
      </c>
      <c r="AD201" s="1">
        <f t="shared" si="70"/>
        <v>13</v>
      </c>
      <c r="AE201" s="1">
        <f t="shared" si="65"/>
        <v>3</v>
      </c>
      <c r="AF201" s="1">
        <f t="shared" si="71"/>
        <v>6</v>
      </c>
      <c r="AG201" s="1">
        <f t="shared" si="72"/>
        <v>4</v>
      </c>
      <c r="AH201" s="1">
        <f t="shared" si="66"/>
        <v>14</v>
      </c>
      <c r="AI201" s="1">
        <f t="shared" si="73"/>
        <v>5</v>
      </c>
      <c r="AJ201" s="1" t="str">
        <f t="shared" si="74"/>
        <v>PAS DE DATE PAPIER</v>
      </c>
      <c r="AK201" s="1" t="str">
        <f t="shared" si="75"/>
        <v>PAS DE DATE CARTON</v>
      </c>
      <c r="AL201" s="1" t="str">
        <f t="shared" si="76"/>
        <v>PAS DE DATE FICHIER</v>
      </c>
      <c r="AM201" s="1">
        <f t="shared" si="77"/>
        <v>5</v>
      </c>
      <c r="AN201" s="1">
        <f t="shared" si="78"/>
        <v>0</v>
      </c>
      <c r="AO201" s="1">
        <f t="shared" si="61"/>
        <v>9</v>
      </c>
      <c r="AP201" s="1">
        <f t="shared" si="79"/>
        <v>1</v>
      </c>
      <c r="AQ201" s="1">
        <f t="shared" si="67"/>
        <v>14</v>
      </c>
      <c r="AR201" s="1">
        <f t="shared" si="80"/>
        <v>0</v>
      </c>
    </row>
    <row r="202" spans="1:44" x14ac:dyDescent="0.3">
      <c r="A202" s="1">
        <v>26010</v>
      </c>
      <c r="E202" s="24">
        <f>_xlfn.XLOOKUP(A202,[1]PONCEBLANC!$Q:$Q,[1]PONCEBLANC!$J:$J,100,0)</f>
        <v>6502.5</v>
      </c>
      <c r="G202" s="2">
        <v>46007</v>
      </c>
      <c r="Y202" s="1" t="str">
        <f t="shared" si="68"/>
        <v>DATE MANQUANTE</v>
      </c>
      <c r="Z202" s="1" t="str">
        <f t="shared" si="69"/>
        <v>DATE MANQUANTE</v>
      </c>
      <c r="AA202" s="1" t="str">
        <f t="shared" si="62"/>
        <v>NON LIVRE</v>
      </c>
      <c r="AB202" s="1" t="str">
        <f t="shared" si="63"/>
        <v>NON LIVRE</v>
      </c>
      <c r="AC202" s="1" t="str">
        <f t="shared" si="64"/>
        <v>NON LIVRE</v>
      </c>
      <c r="AD202" s="1" t="str">
        <f t="shared" si="70"/>
        <v>NON LIVRE</v>
      </c>
      <c r="AE202" s="1" t="str">
        <f t="shared" si="65"/>
        <v>NON LIVRE</v>
      </c>
      <c r="AF202" s="1" t="str">
        <f t="shared" si="71"/>
        <v>NON LIVRE</v>
      </c>
      <c r="AG202" s="1" t="str">
        <f t="shared" si="72"/>
        <v>NON LIVRE</v>
      </c>
      <c r="AH202" s="1" t="str">
        <f t="shared" si="66"/>
        <v>NON LIVRE</v>
      </c>
      <c r="AI202" s="1" t="str">
        <f t="shared" si="73"/>
        <v>NON LIVRE</v>
      </c>
      <c r="AJ202" s="1" t="str">
        <f t="shared" si="74"/>
        <v>NON LIVRE</v>
      </c>
      <c r="AK202" s="1" t="str">
        <f t="shared" si="75"/>
        <v>NON LIVRE</v>
      </c>
      <c r="AL202" s="1" t="str">
        <f t="shared" si="76"/>
        <v>NON LIVRE</v>
      </c>
      <c r="AM202" s="1" t="str">
        <f t="shared" si="77"/>
        <v>NON LIVRE</v>
      </c>
      <c r="AN202" s="1" t="str">
        <f t="shared" si="78"/>
        <v>NON LIVRE</v>
      </c>
      <c r="AO202" s="1" t="str">
        <f t="shared" si="61"/>
        <v>NON LIVRE</v>
      </c>
      <c r="AP202" s="1" t="str">
        <f t="shared" si="79"/>
        <v>NON LIVRE</v>
      </c>
      <c r="AQ202" s="1" t="str">
        <f t="shared" si="67"/>
        <v>NON LIVRE</v>
      </c>
      <c r="AR202" s="1" t="str">
        <f t="shared" si="80"/>
        <v>NON LIVRE</v>
      </c>
    </row>
    <row r="203" spans="1:44" x14ac:dyDescent="0.3">
      <c r="A203" s="1">
        <v>26011</v>
      </c>
      <c r="B203" s="1" t="s">
        <v>34</v>
      </c>
      <c r="C203" s="3" t="s">
        <v>424</v>
      </c>
      <c r="D203" s="4">
        <v>800</v>
      </c>
      <c r="E203" s="24">
        <f>_xlfn.XLOOKUP(A203,[1]PONCEBLANC!$Q:$Q,[1]PONCEBLANC!$J:$J,100,0)</f>
        <v>9320</v>
      </c>
      <c r="F203" s="2" t="s">
        <v>397</v>
      </c>
      <c r="G203" s="2">
        <v>46007</v>
      </c>
      <c r="H203" s="2">
        <v>46042</v>
      </c>
      <c r="I203" s="2">
        <v>46056</v>
      </c>
      <c r="J203" s="2">
        <v>46178</v>
      </c>
      <c r="K203" s="2">
        <v>46164</v>
      </c>
      <c r="N203" s="2">
        <v>46176</v>
      </c>
      <c r="O203" s="2">
        <v>46086</v>
      </c>
      <c r="P203" s="2">
        <v>46178</v>
      </c>
      <c r="Q203" s="2">
        <v>46177</v>
      </c>
      <c r="R203" s="2">
        <v>46206</v>
      </c>
      <c r="S203" s="2">
        <v>46198</v>
      </c>
      <c r="T203" s="2">
        <v>46198</v>
      </c>
      <c r="U203" s="1">
        <v>1</v>
      </c>
      <c r="Y203" s="1">
        <f t="shared" si="68"/>
        <v>137</v>
      </c>
      <c r="Z203" s="1">
        <f t="shared" si="69"/>
        <v>25</v>
      </c>
      <c r="AA203" s="1">
        <f t="shared" si="62"/>
        <v>112</v>
      </c>
      <c r="AB203" s="1">
        <f t="shared" si="63"/>
        <v>112</v>
      </c>
      <c r="AC203" s="1">
        <f t="shared" si="64"/>
        <v>-8</v>
      </c>
      <c r="AD203" s="1">
        <f t="shared" si="70"/>
        <v>98</v>
      </c>
      <c r="AE203" s="1">
        <f t="shared" si="65"/>
        <v>10</v>
      </c>
      <c r="AF203" s="1">
        <f t="shared" si="71"/>
        <v>88</v>
      </c>
      <c r="AG203" s="1">
        <f t="shared" si="72"/>
        <v>0</v>
      </c>
      <c r="AH203" s="1">
        <f t="shared" si="66"/>
        <v>97</v>
      </c>
      <c r="AI203" s="1">
        <f t="shared" si="73"/>
        <v>96</v>
      </c>
      <c r="AJ203" s="1" t="str">
        <f t="shared" si="74"/>
        <v>PAS DE DATE PAPIER</v>
      </c>
      <c r="AK203" s="1">
        <f t="shared" si="75"/>
        <v>32</v>
      </c>
      <c r="AL203" s="1">
        <f t="shared" si="76"/>
        <v>88</v>
      </c>
      <c r="AM203" s="1" t="str">
        <f t="shared" si="77"/>
        <v>PAS DE DATE VALIDATION MODELE CLIENT</v>
      </c>
      <c r="AN203" s="1">
        <f t="shared" si="78"/>
        <v>8</v>
      </c>
      <c r="AO203" s="1">
        <f t="shared" si="61"/>
        <v>1</v>
      </c>
      <c r="AP203" s="1">
        <f t="shared" si="79"/>
        <v>1</v>
      </c>
      <c r="AQ203" s="1">
        <f t="shared" si="67"/>
        <v>14</v>
      </c>
      <c r="AR203" s="1">
        <f t="shared" si="80"/>
        <v>0</v>
      </c>
    </row>
    <row r="204" spans="1:44" x14ac:dyDescent="0.3">
      <c r="A204" s="1">
        <v>26012</v>
      </c>
      <c r="E204" s="24">
        <f>_xlfn.XLOOKUP(A204,[1]PONCEBLANC!$Q:$Q,[1]PONCEBLANC!$J:$J,100,0)</f>
        <v>7160</v>
      </c>
      <c r="G204" s="2">
        <v>46007</v>
      </c>
      <c r="Y204" s="1" t="str">
        <f t="shared" si="68"/>
        <v>DATE MANQUANTE</v>
      </c>
      <c r="Z204" s="1" t="str">
        <f t="shared" si="69"/>
        <v>DATE MANQUANTE</v>
      </c>
      <c r="AA204" s="1" t="str">
        <f t="shared" si="62"/>
        <v>NON LIVRE</v>
      </c>
      <c r="AB204" s="1" t="str">
        <f t="shared" si="63"/>
        <v>NON LIVRE</v>
      </c>
      <c r="AC204" s="1" t="str">
        <f t="shared" si="64"/>
        <v>NON LIVRE</v>
      </c>
      <c r="AD204" s="1" t="str">
        <f t="shared" si="70"/>
        <v>NON LIVRE</v>
      </c>
      <c r="AE204" s="1" t="str">
        <f t="shared" si="65"/>
        <v>NON LIVRE</v>
      </c>
      <c r="AF204" s="1" t="str">
        <f t="shared" si="71"/>
        <v>NON LIVRE</v>
      </c>
      <c r="AG204" s="1" t="str">
        <f t="shared" si="72"/>
        <v>NON LIVRE</v>
      </c>
      <c r="AH204" s="1" t="str">
        <f t="shared" si="66"/>
        <v>NON LIVRE</v>
      </c>
      <c r="AI204" s="1" t="str">
        <f t="shared" si="73"/>
        <v>NON LIVRE</v>
      </c>
      <c r="AJ204" s="1" t="str">
        <f t="shared" si="74"/>
        <v>NON LIVRE</v>
      </c>
      <c r="AK204" s="1" t="str">
        <f t="shared" si="75"/>
        <v>NON LIVRE</v>
      </c>
      <c r="AL204" s="1" t="str">
        <f t="shared" si="76"/>
        <v>NON LIVRE</v>
      </c>
      <c r="AM204" s="1" t="str">
        <f t="shared" si="77"/>
        <v>NON LIVRE</v>
      </c>
      <c r="AN204" s="1" t="str">
        <f t="shared" si="78"/>
        <v>NON LIVRE</v>
      </c>
      <c r="AO204" s="1" t="str">
        <f t="shared" si="61"/>
        <v>NON LIVRE</v>
      </c>
      <c r="AP204" s="1" t="str">
        <f t="shared" si="79"/>
        <v>NON LIVRE</v>
      </c>
      <c r="AQ204" s="1" t="str">
        <f t="shared" si="67"/>
        <v>NON LIVRE</v>
      </c>
      <c r="AR204" s="1" t="str">
        <f t="shared" si="80"/>
        <v>NON LIVRE</v>
      </c>
    </row>
    <row r="205" spans="1:44" x14ac:dyDescent="0.3">
      <c r="A205" s="1">
        <v>26013</v>
      </c>
      <c r="B205" s="1" t="s">
        <v>34</v>
      </c>
      <c r="C205" s="3" t="s">
        <v>435</v>
      </c>
      <c r="D205" s="4">
        <v>700</v>
      </c>
      <c r="E205" s="24">
        <f>_xlfn.XLOOKUP(A205,[1]PONCEBLANC!$Q:$Q,[1]PONCEBLANC!$J:$J,100,0)</f>
        <v>4872</v>
      </c>
      <c r="F205" s="2" t="s">
        <v>397</v>
      </c>
      <c r="G205" s="2">
        <v>46007</v>
      </c>
      <c r="H205" s="2">
        <v>46042</v>
      </c>
      <c r="I205" s="2">
        <v>46057</v>
      </c>
      <c r="J205" s="2">
        <v>46076</v>
      </c>
      <c r="K205" s="2">
        <v>46164</v>
      </c>
      <c r="N205" s="2">
        <v>46176</v>
      </c>
      <c r="O205" s="2">
        <v>46086</v>
      </c>
      <c r="P205" s="2">
        <v>46178</v>
      </c>
      <c r="Q205" s="2">
        <v>46177</v>
      </c>
      <c r="R205" s="2">
        <v>46213</v>
      </c>
      <c r="S205" s="2">
        <v>46206</v>
      </c>
      <c r="T205" s="2">
        <v>46206</v>
      </c>
      <c r="U205" s="1">
        <v>1</v>
      </c>
      <c r="Y205" s="1">
        <f t="shared" si="68"/>
        <v>143</v>
      </c>
      <c r="Z205" s="1">
        <f t="shared" si="69"/>
        <v>25</v>
      </c>
      <c r="AA205" s="1" t="e">
        <f>IF($T205="","NON LIVRE",NETWORKDAYS(#REF!,$T205)-1)</f>
        <v>#REF!</v>
      </c>
      <c r="AB205" s="1" t="e">
        <f>IF($S205="","NON LIVRE",NETWORKDAYS(#REF!,$S205)-1)</f>
        <v>#REF!</v>
      </c>
      <c r="AC205" s="1">
        <f t="shared" si="64"/>
        <v>-7</v>
      </c>
      <c r="AD205" s="1">
        <f>IFERROR(IF($T205="","NON LIVRE",IF($P205="","PAS DE DEPART MATIERE",NETWORKDAYS(#REF!,$P205)-1)),$P205)</f>
        <v>46178</v>
      </c>
      <c r="AE205" s="1">
        <f>IFERROR(IF($T205="","NON LIVRE",IF($I205="","PAS DE COMMANDE MATIERE",NETWORKDAYS(#REF!,$I205)-1)),$I205)</f>
        <v>46057</v>
      </c>
      <c r="AF205" s="1">
        <f t="shared" si="71"/>
        <v>13</v>
      </c>
      <c r="AG205" s="1">
        <f t="shared" si="72"/>
        <v>74</v>
      </c>
      <c r="AH205" s="1">
        <f>IFERROR(IF($T205="","NON LIVRE",IF($Q205="","PAS DE DEPART TIRAGES OU ACHATS",NETWORKDAYS(#REF!,$Q205)-1)),$Q205)</f>
        <v>46177</v>
      </c>
      <c r="AI205" s="1">
        <f>IFERROR(IF($T205="","NON LIVRE",IF($N205="","PAS DE DATE IMPRESSION",NETWORKDAYS(#REF!,$N205)-1)),$N205)</f>
        <v>46176</v>
      </c>
      <c r="AJ205" s="1" t="str">
        <f>IFERROR(IF($T205="","NON LIVRE",IF($M205="","PAS DE DATE PAPIER",NETWORKDAYS(#REF!,$M205)-1)),$M205)</f>
        <v>PAS DE DATE PAPIER</v>
      </c>
      <c r="AK205" s="1">
        <f>IFERROR(IF($T205="","NON LIVRE",IF($O205="","PAS DE DATE CARTON",NETWORKDAYS(#REF!,$O205)-1)),$O205)</f>
        <v>46086</v>
      </c>
      <c r="AL205" s="1">
        <f>IFERROR(IF($T205="","NON LIVRE",IF($K205="","PAS DE DATE FICHIER",NETWORKDAYS(#REF!,$K205)-1)),$K205)</f>
        <v>46164</v>
      </c>
      <c r="AM205" s="1" t="str">
        <f>IFERROR(IF($T205="","NON LIVRE",IF($L205="","PAS DE DATE VALIDATION MODELE CLIENT",NETWORKDAYS(#REF!,$L205)-1)),$L205)</f>
        <v>PAS DE DATE VALIDATION MODELE CLIENT</v>
      </c>
      <c r="AN205" s="1">
        <f t="shared" si="78"/>
        <v>8</v>
      </c>
      <c r="AO205" s="1">
        <f t="shared" si="61"/>
        <v>1</v>
      </c>
      <c r="AP205" s="1">
        <f t="shared" si="79"/>
        <v>1</v>
      </c>
      <c r="AQ205" s="1">
        <f t="shared" si="67"/>
        <v>20</v>
      </c>
      <c r="AR205" s="1">
        <f t="shared" si="80"/>
        <v>0</v>
      </c>
    </row>
    <row r="206" spans="1:44" x14ac:dyDescent="0.3">
      <c r="A206" s="1">
        <v>26014</v>
      </c>
      <c r="B206" s="1" t="s">
        <v>34</v>
      </c>
      <c r="C206" s="3" t="s">
        <v>436</v>
      </c>
      <c r="D206" s="4">
        <v>800</v>
      </c>
      <c r="E206" s="24">
        <f>_xlfn.XLOOKUP(A206,[1]PONCEBLANC!$Q:$Q,[1]PONCEBLANC!$J:$J,100,0)</f>
        <v>5760</v>
      </c>
      <c r="F206" s="2" t="s">
        <v>397</v>
      </c>
      <c r="G206" s="2">
        <v>46007</v>
      </c>
      <c r="H206" s="2">
        <v>46042</v>
      </c>
      <c r="I206" s="2">
        <v>46153</v>
      </c>
      <c r="J206" s="2">
        <v>46182</v>
      </c>
      <c r="K206" s="2">
        <v>46164</v>
      </c>
      <c r="L206" s="2">
        <v>46178</v>
      </c>
      <c r="N206" s="2">
        <v>46188</v>
      </c>
      <c r="O206" s="2">
        <v>46086</v>
      </c>
      <c r="P206" s="2">
        <v>46192</v>
      </c>
      <c r="Q206" s="2">
        <v>46191</v>
      </c>
      <c r="R206" s="2">
        <v>46213</v>
      </c>
      <c r="S206" s="2">
        <v>46206</v>
      </c>
      <c r="T206" s="2">
        <v>46206</v>
      </c>
      <c r="U206" s="1">
        <v>1</v>
      </c>
      <c r="Y206" s="1">
        <f t="shared" si="68"/>
        <v>143</v>
      </c>
      <c r="Z206" s="1">
        <f t="shared" si="69"/>
        <v>25</v>
      </c>
      <c r="AA206" s="1" t="e">
        <f>IF($T206="","NON LIVRE",NETWORKDAYS(#REF!,$T206)-1)</f>
        <v>#REF!</v>
      </c>
      <c r="AB206" s="1" t="e">
        <f>IF($S206="","NON LIVRE",NETWORKDAYS(#REF!,$S206)-1)</f>
        <v>#REF!</v>
      </c>
      <c r="AC206" s="1">
        <f t="shared" si="64"/>
        <v>-7</v>
      </c>
      <c r="AD206" s="1">
        <f>IFERROR(IF($T206="","NON LIVRE",IF($P206="","PAS DE DEPART MATIERE",NETWORKDAYS(#REF!,$P206)-1)),$P206)</f>
        <v>46192</v>
      </c>
      <c r="AE206" s="1">
        <f>IFERROR(IF($T206="","NON LIVRE",IF($I206="","PAS DE COMMANDE MATIERE",NETWORKDAYS(#REF!,$I206)-1)),$I206)</f>
        <v>46153</v>
      </c>
      <c r="AF206" s="1">
        <f t="shared" si="71"/>
        <v>21</v>
      </c>
      <c r="AG206" s="1">
        <f t="shared" si="72"/>
        <v>8</v>
      </c>
      <c r="AH206" s="1">
        <f>IFERROR(IF($T206="","NON LIVRE",IF($Q206="","PAS DE DEPART TIRAGES OU ACHATS",NETWORKDAYS(#REF!,$Q206)-1)),$Q206)</f>
        <v>46191</v>
      </c>
      <c r="AI206" s="1">
        <f>IFERROR(IF($T206="","NON LIVRE",IF($N206="","PAS DE DATE IMPRESSION",NETWORKDAYS(#REF!,$N206)-1)),$N206)</f>
        <v>46188</v>
      </c>
      <c r="AJ206" s="1" t="str">
        <f>IFERROR(IF($T206="","NON LIVRE",IF($M206="","PAS DE DATE PAPIER",NETWORKDAYS(#REF!,$M206)-1)),$M206)</f>
        <v>PAS DE DATE PAPIER</v>
      </c>
      <c r="AK206" s="1">
        <f>IFERROR(IF($T206="","NON LIVRE",IF($O206="","PAS DE DATE CARTON",NETWORKDAYS(#REF!,$O206)-1)),$O206)</f>
        <v>46086</v>
      </c>
      <c r="AL206" s="1">
        <f>IFERROR(IF($T206="","NON LIVRE",IF($K206="","PAS DE DATE FICHIER",NETWORKDAYS(#REF!,$K206)-1)),$K206)</f>
        <v>46164</v>
      </c>
      <c r="AM206" s="1">
        <f>IFERROR(IF($T206="","NON LIVRE",IF($L206="","PAS DE DATE VALIDATION MODELE CLIENT",NETWORKDAYS(#REF!,$L206)-1)),$L206)</f>
        <v>46178</v>
      </c>
      <c r="AN206" s="1">
        <f t="shared" si="78"/>
        <v>6</v>
      </c>
      <c r="AO206" s="1">
        <f t="shared" si="61"/>
        <v>3</v>
      </c>
      <c r="AP206" s="1">
        <f t="shared" si="79"/>
        <v>1</v>
      </c>
      <c r="AQ206" s="1">
        <f t="shared" si="67"/>
        <v>10</v>
      </c>
      <c r="AR206" s="1">
        <f t="shared" si="80"/>
        <v>0</v>
      </c>
    </row>
    <row r="207" spans="1:44" x14ac:dyDescent="0.3">
      <c r="A207" s="1">
        <v>26015</v>
      </c>
      <c r="B207" s="1" t="s">
        <v>358</v>
      </c>
      <c r="C207" s="3" t="s">
        <v>359</v>
      </c>
      <c r="D207" s="4">
        <v>1200</v>
      </c>
      <c r="E207" s="24">
        <f>_xlfn.XLOOKUP(A207,[1]PONCEBLANC!$Q:$Q,[1]PONCEBLANC!$J:$J,100,0)</f>
        <v>10672</v>
      </c>
      <c r="G207" s="2">
        <v>45996</v>
      </c>
      <c r="H207" s="2">
        <v>46042</v>
      </c>
      <c r="J207" s="2">
        <v>46044</v>
      </c>
      <c r="K207" s="2">
        <v>46086</v>
      </c>
      <c r="L207" s="2">
        <v>46101</v>
      </c>
      <c r="N207" s="2">
        <v>46106</v>
      </c>
      <c r="P207" s="2">
        <v>46051</v>
      </c>
      <c r="Q207" s="2">
        <v>46107</v>
      </c>
      <c r="R207" s="2">
        <v>46129</v>
      </c>
      <c r="S207" s="2">
        <v>46129</v>
      </c>
      <c r="T207" s="2">
        <v>46129</v>
      </c>
      <c r="U207" s="1">
        <v>1</v>
      </c>
      <c r="Y207" s="1">
        <f t="shared" si="68"/>
        <v>95</v>
      </c>
      <c r="Z207" s="1">
        <f t="shared" si="69"/>
        <v>32</v>
      </c>
      <c r="AA207" s="1">
        <f t="shared" si="62"/>
        <v>63</v>
      </c>
      <c r="AB207" s="1">
        <f t="shared" si="63"/>
        <v>63</v>
      </c>
      <c r="AC207" s="1">
        <f t="shared" si="64"/>
        <v>0</v>
      </c>
      <c r="AD207" s="1">
        <f t="shared" si="70"/>
        <v>7</v>
      </c>
      <c r="AE207" s="1" t="str">
        <f t="shared" si="65"/>
        <v>PAS DE COMMANDE MATIERE</v>
      </c>
      <c r="AF207" s="1">
        <f t="shared" si="71"/>
        <v>32888</v>
      </c>
      <c r="AG207" s="1">
        <f t="shared" si="72"/>
        <v>5</v>
      </c>
      <c r="AH207" s="1">
        <f t="shared" si="66"/>
        <v>47</v>
      </c>
      <c r="AI207" s="1">
        <f t="shared" si="73"/>
        <v>46</v>
      </c>
      <c r="AJ207" s="1" t="str">
        <f t="shared" si="74"/>
        <v>PAS DE DATE PAPIER</v>
      </c>
      <c r="AK207" s="1" t="str">
        <f t="shared" si="75"/>
        <v>PAS DE DATE CARTON</v>
      </c>
      <c r="AL207" s="1">
        <f t="shared" si="76"/>
        <v>32</v>
      </c>
      <c r="AM207" s="1">
        <f t="shared" si="77"/>
        <v>43</v>
      </c>
      <c r="AN207" s="1">
        <f t="shared" si="78"/>
        <v>3</v>
      </c>
      <c r="AO207" s="1">
        <f t="shared" si="61"/>
        <v>1</v>
      </c>
      <c r="AP207" s="1">
        <f t="shared" si="79"/>
        <v>40</v>
      </c>
      <c r="AQ207" s="1">
        <f t="shared" si="67"/>
        <v>16</v>
      </c>
      <c r="AR207" s="1">
        <f t="shared" si="80"/>
        <v>0</v>
      </c>
    </row>
    <row r="208" spans="1:44" x14ac:dyDescent="0.3">
      <c r="A208" s="1">
        <v>26016</v>
      </c>
      <c r="E208" s="24">
        <f>_xlfn.XLOOKUP(A208,[1]PONCEBLANC!$Q:$Q,[1]PONCEBLANC!$J:$J,100,0)</f>
        <v>46800</v>
      </c>
      <c r="G208" s="2">
        <v>46031</v>
      </c>
      <c r="Y208" s="1" t="str">
        <f t="shared" si="68"/>
        <v>DATE MANQUANTE</v>
      </c>
      <c r="Z208" s="1" t="str">
        <f t="shared" si="69"/>
        <v>DATE MANQUANTE</v>
      </c>
      <c r="AA208" s="1" t="str">
        <f t="shared" si="62"/>
        <v>NON LIVRE</v>
      </c>
      <c r="AB208" s="1" t="str">
        <f t="shared" si="63"/>
        <v>NON LIVRE</v>
      </c>
      <c r="AC208" s="1" t="str">
        <f t="shared" si="64"/>
        <v>NON LIVRE</v>
      </c>
      <c r="AD208" s="1" t="str">
        <f t="shared" si="70"/>
        <v>NON LIVRE</v>
      </c>
      <c r="AE208" s="1" t="str">
        <f t="shared" si="65"/>
        <v>NON LIVRE</v>
      </c>
      <c r="AF208" s="1" t="str">
        <f t="shared" si="71"/>
        <v>NON LIVRE</v>
      </c>
      <c r="AG208" s="1" t="str">
        <f t="shared" si="72"/>
        <v>NON LIVRE</v>
      </c>
      <c r="AH208" s="1" t="str">
        <f t="shared" si="66"/>
        <v>NON LIVRE</v>
      </c>
      <c r="AI208" s="1" t="str">
        <f t="shared" si="73"/>
        <v>NON LIVRE</v>
      </c>
      <c r="AJ208" s="1" t="str">
        <f t="shared" si="74"/>
        <v>NON LIVRE</v>
      </c>
      <c r="AK208" s="1" t="str">
        <f t="shared" si="75"/>
        <v>NON LIVRE</v>
      </c>
      <c r="AL208" s="1" t="str">
        <f t="shared" si="76"/>
        <v>NON LIVRE</v>
      </c>
      <c r="AM208" s="1" t="str">
        <f t="shared" si="77"/>
        <v>NON LIVRE</v>
      </c>
      <c r="AN208" s="1" t="str">
        <f t="shared" si="78"/>
        <v>NON LIVRE</v>
      </c>
      <c r="AO208" s="1" t="str">
        <f t="shared" si="61"/>
        <v>NON LIVRE</v>
      </c>
      <c r="AP208" s="1" t="str">
        <f t="shared" si="79"/>
        <v>NON LIVRE</v>
      </c>
      <c r="AQ208" s="1" t="str">
        <f t="shared" si="67"/>
        <v>NON LIVRE</v>
      </c>
      <c r="AR208" s="1" t="str">
        <f t="shared" si="80"/>
        <v>NON LIVRE</v>
      </c>
    </row>
    <row r="209" spans="1:44" x14ac:dyDescent="0.3">
      <c r="A209" s="1">
        <v>26017</v>
      </c>
      <c r="E209" s="24">
        <f>_xlfn.XLOOKUP(A209,[1]PONCEBLANC!$Q:$Q,[1]PONCEBLANC!$J:$J,100,0)</f>
        <v>100</v>
      </c>
      <c r="G209" s="2" t="s">
        <v>450</v>
      </c>
      <c r="Y209" s="1" t="str">
        <f t="shared" si="68"/>
        <v>DATE MANQUANTE</v>
      </c>
      <c r="Z209" s="1" t="str">
        <f t="shared" si="69"/>
        <v>DATE MANQUANTE</v>
      </c>
      <c r="AA209" s="1" t="str">
        <f t="shared" si="62"/>
        <v>NON LIVRE</v>
      </c>
      <c r="AB209" s="1" t="str">
        <f t="shared" si="63"/>
        <v>NON LIVRE</v>
      </c>
      <c r="AC209" s="1" t="str">
        <f t="shared" si="64"/>
        <v>NON LIVRE</v>
      </c>
      <c r="AD209" s="1" t="str">
        <f t="shared" si="70"/>
        <v>NON LIVRE</v>
      </c>
      <c r="AE209" s="1" t="str">
        <f t="shared" si="65"/>
        <v>NON LIVRE</v>
      </c>
      <c r="AF209" s="1" t="str">
        <f t="shared" si="71"/>
        <v>NON LIVRE</v>
      </c>
      <c r="AG209" s="1" t="str">
        <f t="shared" si="72"/>
        <v>NON LIVRE</v>
      </c>
      <c r="AH209" s="1" t="str">
        <f t="shared" si="66"/>
        <v>NON LIVRE</v>
      </c>
      <c r="AI209" s="1" t="str">
        <f t="shared" si="73"/>
        <v>NON LIVRE</v>
      </c>
      <c r="AJ209" s="1" t="str">
        <f t="shared" si="74"/>
        <v>NON LIVRE</v>
      </c>
      <c r="AK209" s="1" t="str">
        <f t="shared" si="75"/>
        <v>NON LIVRE</v>
      </c>
      <c r="AL209" s="1" t="str">
        <f t="shared" si="76"/>
        <v>NON LIVRE</v>
      </c>
      <c r="AM209" s="1" t="str">
        <f t="shared" si="77"/>
        <v>NON LIVRE</v>
      </c>
      <c r="AN209" s="1" t="str">
        <f t="shared" si="78"/>
        <v>NON LIVRE</v>
      </c>
      <c r="AO209" s="1" t="str">
        <f t="shared" si="61"/>
        <v>NON LIVRE</v>
      </c>
      <c r="AP209" s="1" t="str">
        <f t="shared" si="79"/>
        <v>NON LIVRE</v>
      </c>
      <c r="AQ209" s="1" t="str">
        <f t="shared" si="67"/>
        <v>NON LIVRE</v>
      </c>
      <c r="AR209" s="1" t="str">
        <f t="shared" si="80"/>
        <v>NON LIVRE</v>
      </c>
    </row>
    <row r="210" spans="1:44" x14ac:dyDescent="0.3">
      <c r="A210" s="1">
        <v>26018</v>
      </c>
      <c r="E210" s="24">
        <f>_xlfn.XLOOKUP(A210,[1]PONCEBLANC!$Q:$Q,[1]PONCEBLANC!$J:$J,100,0)</f>
        <v>4450</v>
      </c>
      <c r="G210" s="2">
        <v>46034</v>
      </c>
      <c r="Y210" s="1" t="str">
        <f t="shared" si="68"/>
        <v>DATE MANQUANTE</v>
      </c>
      <c r="Z210" s="1" t="str">
        <f t="shared" si="69"/>
        <v>DATE MANQUANTE</v>
      </c>
      <c r="AA210" s="1" t="str">
        <f t="shared" si="62"/>
        <v>NON LIVRE</v>
      </c>
      <c r="AB210" s="1" t="str">
        <f t="shared" si="63"/>
        <v>NON LIVRE</v>
      </c>
      <c r="AC210" s="1" t="str">
        <f t="shared" si="64"/>
        <v>NON LIVRE</v>
      </c>
      <c r="AD210" s="1" t="str">
        <f t="shared" si="70"/>
        <v>NON LIVRE</v>
      </c>
      <c r="AE210" s="1" t="str">
        <f t="shared" si="65"/>
        <v>NON LIVRE</v>
      </c>
      <c r="AF210" s="1" t="str">
        <f t="shared" si="71"/>
        <v>NON LIVRE</v>
      </c>
      <c r="AG210" s="1" t="str">
        <f t="shared" si="72"/>
        <v>NON LIVRE</v>
      </c>
      <c r="AH210" s="1" t="str">
        <f t="shared" si="66"/>
        <v>NON LIVRE</v>
      </c>
      <c r="AI210" s="1" t="str">
        <f t="shared" si="73"/>
        <v>NON LIVRE</v>
      </c>
      <c r="AJ210" s="1" t="str">
        <f t="shared" si="74"/>
        <v>NON LIVRE</v>
      </c>
      <c r="AK210" s="1" t="str">
        <f t="shared" si="75"/>
        <v>NON LIVRE</v>
      </c>
      <c r="AL210" s="1" t="str">
        <f t="shared" si="76"/>
        <v>NON LIVRE</v>
      </c>
      <c r="AM210" s="1" t="str">
        <f t="shared" si="77"/>
        <v>NON LIVRE</v>
      </c>
      <c r="AN210" s="1" t="str">
        <f t="shared" si="78"/>
        <v>NON LIVRE</v>
      </c>
      <c r="AO210" s="1" t="str">
        <f t="shared" si="61"/>
        <v>NON LIVRE</v>
      </c>
      <c r="AP210" s="1" t="str">
        <f t="shared" si="79"/>
        <v>NON LIVRE</v>
      </c>
      <c r="AQ210" s="1" t="str">
        <f t="shared" si="67"/>
        <v>NON LIVRE</v>
      </c>
      <c r="AR210" s="1" t="str">
        <f t="shared" si="80"/>
        <v>NON LIVRE</v>
      </c>
    </row>
    <row r="211" spans="1:44" x14ac:dyDescent="0.3">
      <c r="A211" s="1">
        <v>26019</v>
      </c>
      <c r="B211" s="1" t="s">
        <v>264</v>
      </c>
      <c r="C211" s="3" t="s">
        <v>360</v>
      </c>
      <c r="D211" s="4">
        <v>3300</v>
      </c>
      <c r="E211" s="24">
        <f>_xlfn.XLOOKUP(A211,[1]PONCEBLANC!$Q:$Q,[1]PONCEBLANC!$J:$J,100,0)</f>
        <v>100</v>
      </c>
      <c r="G211" s="2" t="s">
        <v>450</v>
      </c>
      <c r="H211" s="2">
        <v>46051</v>
      </c>
      <c r="J211" s="2">
        <v>46062</v>
      </c>
      <c r="N211" s="2">
        <v>46080</v>
      </c>
      <c r="P211" s="2">
        <v>46066</v>
      </c>
      <c r="Q211" s="2">
        <v>46080</v>
      </c>
      <c r="R211" s="2">
        <v>46115</v>
      </c>
      <c r="S211" s="2">
        <v>46115</v>
      </c>
      <c r="T211" s="2">
        <v>46115</v>
      </c>
      <c r="U211" s="1">
        <v>1</v>
      </c>
      <c r="Y211" s="1" t="str">
        <f t="shared" si="68"/>
        <v>DATE MANQUANTE</v>
      </c>
      <c r="Z211" s="1" t="str">
        <f t="shared" si="69"/>
        <v>DATE MANQUANTE</v>
      </c>
      <c r="AA211" s="1">
        <f t="shared" si="62"/>
        <v>46</v>
      </c>
      <c r="AB211" s="1">
        <f t="shared" si="63"/>
        <v>46</v>
      </c>
      <c r="AC211" s="1">
        <f t="shared" si="64"/>
        <v>0</v>
      </c>
      <c r="AD211" s="1">
        <f t="shared" si="70"/>
        <v>11</v>
      </c>
      <c r="AE211" s="1" t="str">
        <f t="shared" si="65"/>
        <v>PAS DE COMMANDE MATIERE</v>
      </c>
      <c r="AF211" s="1">
        <f t="shared" si="71"/>
        <v>32900</v>
      </c>
      <c r="AG211" s="1">
        <f t="shared" si="72"/>
        <v>4</v>
      </c>
      <c r="AH211" s="1">
        <f t="shared" si="66"/>
        <v>21</v>
      </c>
      <c r="AI211" s="1">
        <f t="shared" si="73"/>
        <v>21</v>
      </c>
      <c r="AJ211" s="1" t="str">
        <f t="shared" si="74"/>
        <v>PAS DE DATE PAPIER</v>
      </c>
      <c r="AK211" s="1" t="str">
        <f t="shared" si="75"/>
        <v>PAS DE DATE CARTON</v>
      </c>
      <c r="AL211" s="1" t="str">
        <f t="shared" si="76"/>
        <v>PAS DE DATE FICHIER</v>
      </c>
      <c r="AM211" s="1" t="str">
        <f t="shared" si="77"/>
        <v>PAS DE DATE VALIDATION MODELE CLIENT</v>
      </c>
      <c r="AN211" s="1">
        <f t="shared" si="78"/>
        <v>32914</v>
      </c>
      <c r="AO211" s="1">
        <f t="shared" si="61"/>
        <v>0</v>
      </c>
      <c r="AP211" s="1">
        <f t="shared" si="79"/>
        <v>10</v>
      </c>
      <c r="AQ211" s="1">
        <f t="shared" si="67"/>
        <v>25</v>
      </c>
      <c r="AR211" s="1">
        <f t="shared" si="80"/>
        <v>0</v>
      </c>
    </row>
    <row r="212" spans="1:44" x14ac:dyDescent="0.3">
      <c r="A212" s="1">
        <v>26020</v>
      </c>
      <c r="E212" s="24">
        <f>_xlfn.XLOOKUP(A212,[1]PONCEBLANC!$Q:$Q,[1]PONCEBLANC!$J:$J,100,0)</f>
        <v>13690</v>
      </c>
      <c r="G212" s="2">
        <v>46014</v>
      </c>
      <c r="Y212" s="1" t="str">
        <f t="shared" si="68"/>
        <v>DATE MANQUANTE</v>
      </c>
      <c r="Z212" s="1" t="str">
        <f t="shared" si="69"/>
        <v>DATE MANQUANTE</v>
      </c>
      <c r="AA212" s="1" t="str">
        <f t="shared" si="62"/>
        <v>NON LIVRE</v>
      </c>
      <c r="AB212" s="1" t="str">
        <f t="shared" si="63"/>
        <v>NON LIVRE</v>
      </c>
      <c r="AC212" s="1" t="str">
        <f t="shared" si="64"/>
        <v>NON LIVRE</v>
      </c>
      <c r="AD212" s="1" t="str">
        <f t="shared" si="70"/>
        <v>NON LIVRE</v>
      </c>
      <c r="AE212" s="1" t="str">
        <f t="shared" si="65"/>
        <v>NON LIVRE</v>
      </c>
      <c r="AF212" s="1" t="str">
        <f t="shared" si="71"/>
        <v>NON LIVRE</v>
      </c>
      <c r="AG212" s="1" t="str">
        <f t="shared" si="72"/>
        <v>NON LIVRE</v>
      </c>
      <c r="AH212" s="1" t="str">
        <f t="shared" si="66"/>
        <v>NON LIVRE</v>
      </c>
      <c r="AI212" s="1" t="str">
        <f t="shared" si="73"/>
        <v>NON LIVRE</v>
      </c>
      <c r="AJ212" s="1" t="str">
        <f t="shared" si="74"/>
        <v>NON LIVRE</v>
      </c>
      <c r="AK212" s="1" t="str">
        <f t="shared" si="75"/>
        <v>NON LIVRE</v>
      </c>
      <c r="AL212" s="1" t="str">
        <f t="shared" si="76"/>
        <v>NON LIVRE</v>
      </c>
      <c r="AM212" s="1" t="str">
        <f t="shared" si="77"/>
        <v>NON LIVRE</v>
      </c>
      <c r="AN212" s="1" t="str">
        <f t="shared" si="78"/>
        <v>NON LIVRE</v>
      </c>
      <c r="AO212" s="1" t="str">
        <f t="shared" si="61"/>
        <v>NON LIVRE</v>
      </c>
      <c r="AP212" s="1" t="str">
        <f t="shared" si="79"/>
        <v>NON LIVRE</v>
      </c>
      <c r="AQ212" s="1" t="str">
        <f t="shared" si="67"/>
        <v>NON LIVRE</v>
      </c>
      <c r="AR212" s="1" t="str">
        <f t="shared" si="80"/>
        <v>NON LIVRE</v>
      </c>
    </row>
    <row r="213" spans="1:44" x14ac:dyDescent="0.3">
      <c r="A213" s="1">
        <v>26021</v>
      </c>
      <c r="B213" s="1" t="s">
        <v>35</v>
      </c>
      <c r="C213" s="3" t="s">
        <v>399</v>
      </c>
      <c r="D213" s="4">
        <v>2500</v>
      </c>
      <c r="E213" s="24">
        <f>_xlfn.XLOOKUP(A213,[1]PONCEBLANC!$Q:$Q,[1]PONCEBLANC!$J:$J,100,0)</f>
        <v>34950</v>
      </c>
      <c r="F213" s="2" t="s">
        <v>128</v>
      </c>
      <c r="G213" s="2">
        <v>46006</v>
      </c>
      <c r="H213" s="2">
        <v>46057</v>
      </c>
      <c r="I213" s="2">
        <v>46059</v>
      </c>
      <c r="J213" s="2">
        <v>46129</v>
      </c>
      <c r="K213" s="2">
        <v>46078</v>
      </c>
      <c r="L213" s="2">
        <v>46071</v>
      </c>
      <c r="M213" s="2">
        <v>46080</v>
      </c>
      <c r="N213" s="2">
        <v>46119</v>
      </c>
      <c r="O213" s="2">
        <v>46086</v>
      </c>
      <c r="P213" s="2">
        <v>46106</v>
      </c>
      <c r="Q213" s="2">
        <v>46128</v>
      </c>
      <c r="R213" s="2">
        <v>46157</v>
      </c>
      <c r="S213" s="2">
        <v>46157</v>
      </c>
      <c r="T213" s="2">
        <v>46178</v>
      </c>
      <c r="U213" s="1">
        <v>3</v>
      </c>
      <c r="V213" s="3" t="s">
        <v>400</v>
      </c>
      <c r="Y213" s="1">
        <f t="shared" si="68"/>
        <v>124</v>
      </c>
      <c r="Z213" s="1">
        <f t="shared" si="69"/>
        <v>37</v>
      </c>
      <c r="AA213" s="1">
        <f t="shared" si="62"/>
        <v>87</v>
      </c>
      <c r="AB213" s="1">
        <f t="shared" si="63"/>
        <v>72</v>
      </c>
      <c r="AC213" s="1">
        <f t="shared" si="64"/>
        <v>0</v>
      </c>
      <c r="AD213" s="1">
        <f t="shared" si="70"/>
        <v>35</v>
      </c>
      <c r="AE213" s="1">
        <f t="shared" si="65"/>
        <v>2</v>
      </c>
      <c r="AF213" s="1">
        <f t="shared" si="71"/>
        <v>50</v>
      </c>
      <c r="AG213" s="1">
        <f t="shared" si="72"/>
        <v>-19</v>
      </c>
      <c r="AH213" s="1">
        <f t="shared" si="66"/>
        <v>51</v>
      </c>
      <c r="AI213" s="1">
        <f t="shared" si="73"/>
        <v>44</v>
      </c>
      <c r="AJ213" s="1">
        <f t="shared" si="74"/>
        <v>17</v>
      </c>
      <c r="AK213" s="1">
        <f t="shared" si="75"/>
        <v>21</v>
      </c>
      <c r="AL213" s="1">
        <f t="shared" si="76"/>
        <v>15</v>
      </c>
      <c r="AM213" s="1">
        <f t="shared" si="77"/>
        <v>10</v>
      </c>
      <c r="AN213" s="1">
        <f t="shared" si="78"/>
        <v>29</v>
      </c>
      <c r="AO213" s="1">
        <f t="shared" si="61"/>
        <v>7</v>
      </c>
      <c r="AP213" s="1">
        <f t="shared" si="79"/>
        <v>16</v>
      </c>
      <c r="AQ213" s="1">
        <f t="shared" si="67"/>
        <v>21</v>
      </c>
      <c r="AR213" s="1">
        <f t="shared" si="80"/>
        <v>15</v>
      </c>
    </row>
    <row r="214" spans="1:44" x14ac:dyDescent="0.3">
      <c r="A214" s="1">
        <v>26022</v>
      </c>
      <c r="B214" s="1" t="s">
        <v>60</v>
      </c>
      <c r="C214" s="3" t="s">
        <v>361</v>
      </c>
      <c r="D214" s="4">
        <v>1000</v>
      </c>
      <c r="E214" s="24">
        <f>_xlfn.XLOOKUP(A214,[1]PONCEBLANC!$Q:$Q,[1]PONCEBLANC!$J:$J,100,0)</f>
        <v>18320</v>
      </c>
      <c r="G214" s="2">
        <v>45952</v>
      </c>
      <c r="H214" s="2">
        <v>46057</v>
      </c>
      <c r="I214" s="2">
        <v>46058</v>
      </c>
      <c r="J214" s="2">
        <v>46069</v>
      </c>
      <c r="K214" s="2">
        <v>46063</v>
      </c>
      <c r="M214" s="2">
        <v>46079</v>
      </c>
      <c r="N214" s="2">
        <v>46080</v>
      </c>
      <c r="O214" s="2" t="s">
        <v>199</v>
      </c>
      <c r="Q214" s="2">
        <v>46100</v>
      </c>
      <c r="R214" s="2">
        <v>46129</v>
      </c>
      <c r="S214" s="2">
        <v>46129</v>
      </c>
      <c r="T214" s="2">
        <v>46129</v>
      </c>
      <c r="U214" s="1">
        <v>1</v>
      </c>
      <c r="Y214" s="1">
        <f t="shared" si="68"/>
        <v>127</v>
      </c>
      <c r="Z214" s="1">
        <f t="shared" si="69"/>
        <v>75</v>
      </c>
      <c r="AA214" s="1">
        <f t="shared" si="62"/>
        <v>52</v>
      </c>
      <c r="AB214" s="1">
        <f t="shared" si="63"/>
        <v>52</v>
      </c>
      <c r="AC214" s="1">
        <f t="shared" si="64"/>
        <v>0</v>
      </c>
      <c r="AD214" s="1" t="str">
        <f t="shared" si="70"/>
        <v>PAS DE DEPART MATIERE</v>
      </c>
      <c r="AE214" s="1">
        <f t="shared" si="65"/>
        <v>1</v>
      </c>
      <c r="AF214" s="1">
        <f t="shared" si="71"/>
        <v>7</v>
      </c>
      <c r="AG214" s="1" t="str">
        <f t="shared" si="72"/>
        <v>PAS DE COMMANDE MATIERE</v>
      </c>
      <c r="AH214" s="1">
        <f t="shared" si="66"/>
        <v>31</v>
      </c>
      <c r="AI214" s="1">
        <f t="shared" si="73"/>
        <v>17</v>
      </c>
      <c r="AJ214" s="1">
        <f t="shared" si="74"/>
        <v>16</v>
      </c>
      <c r="AK214" s="1" t="str">
        <f t="shared" si="75"/>
        <v>STOCK</v>
      </c>
      <c r="AL214" s="1">
        <f t="shared" si="76"/>
        <v>4</v>
      </c>
      <c r="AM214" s="1" t="str">
        <f t="shared" si="77"/>
        <v>PAS DE DATE VALIDATION MODELE CLIENT</v>
      </c>
      <c r="AN214" s="1">
        <f t="shared" si="78"/>
        <v>13</v>
      </c>
      <c r="AO214" s="1">
        <f t="shared" si="61"/>
        <v>14</v>
      </c>
      <c r="AP214" s="1">
        <f t="shared" si="79"/>
        <v>0</v>
      </c>
      <c r="AQ214" s="1">
        <f t="shared" si="67"/>
        <v>21</v>
      </c>
      <c r="AR214" s="1" t="str">
        <f t="shared" si="80"/>
        <v>PAS D'IMPRESSION</v>
      </c>
    </row>
    <row r="215" spans="1:44" x14ac:dyDescent="0.3">
      <c r="A215" s="1">
        <v>26023</v>
      </c>
      <c r="E215" s="24">
        <f>_xlfn.XLOOKUP(A215,[1]PONCEBLANC!$Q:$Q,[1]PONCEBLANC!$J:$J,100,0)</f>
        <v>14312</v>
      </c>
      <c r="G215" s="2">
        <v>46041</v>
      </c>
      <c r="Y215" s="1" t="str">
        <f t="shared" si="68"/>
        <v>DATE MANQUANTE</v>
      </c>
      <c r="Z215" s="1" t="str">
        <f t="shared" si="69"/>
        <v>DATE MANQUANTE</v>
      </c>
      <c r="AA215" s="1" t="str">
        <f t="shared" si="62"/>
        <v>NON LIVRE</v>
      </c>
      <c r="AB215" s="1" t="str">
        <f t="shared" si="63"/>
        <v>NON LIVRE</v>
      </c>
      <c r="AC215" s="1" t="str">
        <f t="shared" si="64"/>
        <v>NON LIVRE</v>
      </c>
      <c r="AD215" s="1" t="str">
        <f t="shared" si="70"/>
        <v>NON LIVRE</v>
      </c>
      <c r="AE215" s="1" t="str">
        <f t="shared" si="65"/>
        <v>NON LIVRE</v>
      </c>
      <c r="AF215" s="1" t="str">
        <f t="shared" si="71"/>
        <v>NON LIVRE</v>
      </c>
      <c r="AG215" s="1" t="str">
        <f t="shared" si="72"/>
        <v>NON LIVRE</v>
      </c>
      <c r="AH215" s="1" t="str">
        <f t="shared" si="66"/>
        <v>NON LIVRE</v>
      </c>
      <c r="AI215" s="1" t="str">
        <f t="shared" si="73"/>
        <v>NON LIVRE</v>
      </c>
      <c r="AJ215" s="1" t="str">
        <f t="shared" si="74"/>
        <v>NON LIVRE</v>
      </c>
      <c r="AK215" s="1" t="str">
        <f t="shared" si="75"/>
        <v>NON LIVRE</v>
      </c>
      <c r="AL215" s="1" t="str">
        <f t="shared" si="76"/>
        <v>NON LIVRE</v>
      </c>
      <c r="AM215" s="1" t="str">
        <f t="shared" si="77"/>
        <v>NON LIVRE</v>
      </c>
      <c r="AN215" s="1" t="str">
        <f t="shared" si="78"/>
        <v>NON LIVRE</v>
      </c>
      <c r="AO215" s="1" t="str">
        <f t="shared" si="61"/>
        <v>NON LIVRE</v>
      </c>
      <c r="AP215" s="1" t="str">
        <f t="shared" si="79"/>
        <v>NON LIVRE</v>
      </c>
      <c r="AQ215" s="1" t="str">
        <f t="shared" si="67"/>
        <v>NON LIVRE</v>
      </c>
      <c r="AR215" s="1" t="str">
        <f t="shared" si="80"/>
        <v>NON LIVRE</v>
      </c>
    </row>
    <row r="216" spans="1:44" x14ac:dyDescent="0.3">
      <c r="A216" s="1">
        <v>26024</v>
      </c>
      <c r="E216" s="24">
        <f>_xlfn.XLOOKUP(A216,[1]PONCEBLANC!$Q:$Q,[1]PONCEBLANC!$J:$J,100,0)</f>
        <v>100</v>
      </c>
      <c r="G216" s="2" t="s">
        <v>450</v>
      </c>
      <c r="Y216" s="1" t="str">
        <f t="shared" si="68"/>
        <v>DATE MANQUANTE</v>
      </c>
      <c r="Z216" s="1" t="str">
        <f t="shared" si="69"/>
        <v>DATE MANQUANTE</v>
      </c>
      <c r="AA216" s="1" t="str">
        <f t="shared" si="62"/>
        <v>NON LIVRE</v>
      </c>
      <c r="AB216" s="1" t="str">
        <f t="shared" si="63"/>
        <v>NON LIVRE</v>
      </c>
      <c r="AC216" s="1" t="str">
        <f t="shared" si="64"/>
        <v>NON LIVRE</v>
      </c>
      <c r="AD216" s="1" t="str">
        <f t="shared" si="70"/>
        <v>NON LIVRE</v>
      </c>
      <c r="AE216" s="1" t="str">
        <f t="shared" si="65"/>
        <v>NON LIVRE</v>
      </c>
      <c r="AF216" s="1" t="str">
        <f t="shared" si="71"/>
        <v>NON LIVRE</v>
      </c>
      <c r="AG216" s="1" t="str">
        <f t="shared" si="72"/>
        <v>NON LIVRE</v>
      </c>
      <c r="AH216" s="1" t="str">
        <f t="shared" si="66"/>
        <v>NON LIVRE</v>
      </c>
      <c r="AI216" s="1" t="str">
        <f t="shared" si="73"/>
        <v>NON LIVRE</v>
      </c>
      <c r="AJ216" s="1" t="str">
        <f t="shared" si="74"/>
        <v>NON LIVRE</v>
      </c>
      <c r="AK216" s="1" t="str">
        <f t="shared" si="75"/>
        <v>NON LIVRE</v>
      </c>
      <c r="AL216" s="1" t="str">
        <f t="shared" si="76"/>
        <v>NON LIVRE</v>
      </c>
      <c r="AM216" s="1" t="str">
        <f t="shared" si="77"/>
        <v>NON LIVRE</v>
      </c>
      <c r="AN216" s="1" t="str">
        <f t="shared" si="78"/>
        <v>NON LIVRE</v>
      </c>
      <c r="AO216" s="1" t="str">
        <f t="shared" si="61"/>
        <v>NON LIVRE</v>
      </c>
      <c r="AP216" s="1" t="str">
        <f t="shared" si="79"/>
        <v>NON LIVRE</v>
      </c>
      <c r="AQ216" s="1" t="str">
        <f t="shared" si="67"/>
        <v>NON LIVRE</v>
      </c>
      <c r="AR216" s="1" t="str">
        <f t="shared" si="80"/>
        <v>NON LIVRE</v>
      </c>
    </row>
    <row r="217" spans="1:44" x14ac:dyDescent="0.3">
      <c r="A217" s="1">
        <v>26025</v>
      </c>
      <c r="E217" s="24">
        <f>_xlfn.XLOOKUP(A217,[1]PONCEBLANC!$Q:$Q,[1]PONCEBLANC!$J:$J,100,0)</f>
        <v>100</v>
      </c>
      <c r="G217" s="2" t="s">
        <v>450</v>
      </c>
      <c r="Y217" s="1" t="str">
        <f t="shared" si="68"/>
        <v>DATE MANQUANTE</v>
      </c>
      <c r="Z217" s="1" t="str">
        <f t="shared" si="69"/>
        <v>DATE MANQUANTE</v>
      </c>
      <c r="AA217" s="1" t="str">
        <f t="shared" si="62"/>
        <v>NON LIVRE</v>
      </c>
      <c r="AB217" s="1" t="str">
        <f t="shared" si="63"/>
        <v>NON LIVRE</v>
      </c>
      <c r="AC217" s="1" t="str">
        <f t="shared" si="64"/>
        <v>NON LIVRE</v>
      </c>
      <c r="AD217" s="1" t="str">
        <f t="shared" si="70"/>
        <v>NON LIVRE</v>
      </c>
      <c r="AE217" s="1" t="str">
        <f t="shared" si="65"/>
        <v>NON LIVRE</v>
      </c>
      <c r="AF217" s="1" t="str">
        <f t="shared" si="71"/>
        <v>NON LIVRE</v>
      </c>
      <c r="AG217" s="1" t="str">
        <f t="shared" si="72"/>
        <v>NON LIVRE</v>
      </c>
      <c r="AH217" s="1" t="str">
        <f t="shared" si="66"/>
        <v>NON LIVRE</v>
      </c>
      <c r="AI217" s="1" t="str">
        <f t="shared" si="73"/>
        <v>NON LIVRE</v>
      </c>
      <c r="AJ217" s="1" t="str">
        <f t="shared" si="74"/>
        <v>NON LIVRE</v>
      </c>
      <c r="AK217" s="1" t="str">
        <f t="shared" si="75"/>
        <v>NON LIVRE</v>
      </c>
      <c r="AL217" s="1" t="str">
        <f t="shared" si="76"/>
        <v>NON LIVRE</v>
      </c>
      <c r="AM217" s="1" t="str">
        <f t="shared" si="77"/>
        <v>NON LIVRE</v>
      </c>
      <c r="AN217" s="1" t="str">
        <f t="shared" si="78"/>
        <v>NON LIVRE</v>
      </c>
      <c r="AO217" s="1" t="str">
        <f t="shared" si="61"/>
        <v>NON LIVRE</v>
      </c>
      <c r="AP217" s="1" t="str">
        <f t="shared" si="79"/>
        <v>NON LIVRE</v>
      </c>
      <c r="AQ217" s="1" t="str">
        <f t="shared" si="67"/>
        <v>NON LIVRE</v>
      </c>
      <c r="AR217" s="1" t="str">
        <f t="shared" si="80"/>
        <v>NON LIVRE</v>
      </c>
    </row>
    <row r="218" spans="1:44" x14ac:dyDescent="0.3">
      <c r="A218" s="1">
        <v>26026</v>
      </c>
      <c r="B218" s="1" t="s">
        <v>51</v>
      </c>
      <c r="C218" s="3" t="s">
        <v>406</v>
      </c>
      <c r="D218" s="4">
        <v>12900</v>
      </c>
      <c r="E218" s="24">
        <f>_xlfn.XLOOKUP(A218,[1]PONCEBLANC!$Q:$Q,[1]PONCEBLANC!$J:$J,100,0)</f>
        <v>100</v>
      </c>
      <c r="F218" s="2" t="s">
        <v>397</v>
      </c>
      <c r="G218" s="2" t="s">
        <v>450</v>
      </c>
      <c r="H218" s="2">
        <v>46062</v>
      </c>
      <c r="I218" s="2">
        <v>46057</v>
      </c>
      <c r="J218" s="2">
        <v>46148</v>
      </c>
      <c r="K218" s="2">
        <v>46136</v>
      </c>
      <c r="L218" s="2">
        <v>46097</v>
      </c>
      <c r="M218" s="2">
        <v>46114</v>
      </c>
      <c r="N218" s="2">
        <v>46136</v>
      </c>
      <c r="O218" s="2">
        <v>46093</v>
      </c>
      <c r="P218" s="2">
        <v>46119</v>
      </c>
      <c r="Q218" s="2">
        <v>46164</v>
      </c>
      <c r="R218" s="2">
        <v>46133</v>
      </c>
      <c r="S218" s="2">
        <v>46161</v>
      </c>
      <c r="T218" s="2">
        <v>46185</v>
      </c>
      <c r="U218" s="1">
        <v>5</v>
      </c>
      <c r="Y218" s="1" t="str">
        <f t="shared" si="68"/>
        <v>DATE MANQUANTE</v>
      </c>
      <c r="Z218" s="1" t="str">
        <f t="shared" si="69"/>
        <v>DATE MANQUANTE</v>
      </c>
      <c r="AA218" s="1">
        <f t="shared" si="62"/>
        <v>89</v>
      </c>
      <c r="AB218" s="1">
        <f t="shared" si="63"/>
        <v>71</v>
      </c>
      <c r="AC218" s="1">
        <f t="shared" si="64"/>
        <v>20</v>
      </c>
      <c r="AD218" s="1">
        <f t="shared" si="70"/>
        <v>41</v>
      </c>
      <c r="AE218" s="1">
        <f t="shared" si="65"/>
        <v>-5</v>
      </c>
      <c r="AF218" s="1">
        <f t="shared" si="71"/>
        <v>65</v>
      </c>
      <c r="AG218" s="1">
        <f t="shared" si="72"/>
        <v>-23</v>
      </c>
      <c r="AH218" s="1">
        <f t="shared" si="66"/>
        <v>74</v>
      </c>
      <c r="AI218" s="1">
        <f t="shared" si="73"/>
        <v>54</v>
      </c>
      <c r="AJ218" s="1">
        <f t="shared" si="74"/>
        <v>38</v>
      </c>
      <c r="AK218" s="1">
        <f t="shared" si="75"/>
        <v>23</v>
      </c>
      <c r="AL218" s="1">
        <f t="shared" si="76"/>
        <v>54</v>
      </c>
      <c r="AM218" s="1">
        <f t="shared" si="77"/>
        <v>25</v>
      </c>
      <c r="AN218" s="1">
        <f t="shared" si="78"/>
        <v>0</v>
      </c>
      <c r="AO218" s="1">
        <f t="shared" si="61"/>
        <v>20</v>
      </c>
      <c r="AP218" s="1">
        <f t="shared" si="79"/>
        <v>33</v>
      </c>
      <c r="AQ218" s="1">
        <f t="shared" si="67"/>
        <v>-5</v>
      </c>
      <c r="AR218" s="1">
        <f t="shared" si="80"/>
        <v>18</v>
      </c>
    </row>
    <row r="219" spans="1:44" x14ac:dyDescent="0.3">
      <c r="A219" s="1">
        <v>26027</v>
      </c>
      <c r="B219" s="1" t="s">
        <v>51</v>
      </c>
      <c r="C219" s="3" t="s">
        <v>407</v>
      </c>
      <c r="D219" s="4">
        <v>7800</v>
      </c>
      <c r="E219" s="24">
        <f>_xlfn.XLOOKUP(A219,[1]PONCEBLANC!$Q:$Q,[1]PONCEBLANC!$J:$J,100,0)</f>
        <v>100</v>
      </c>
      <c r="F219" s="2" t="s">
        <v>397</v>
      </c>
      <c r="G219" s="2" t="s">
        <v>450</v>
      </c>
      <c r="H219" s="2">
        <v>46062</v>
      </c>
      <c r="I219" s="2">
        <v>46057</v>
      </c>
      <c r="J219" s="2">
        <v>46148</v>
      </c>
      <c r="K219" s="2">
        <v>46136</v>
      </c>
      <c r="L219" s="2">
        <v>46097</v>
      </c>
      <c r="M219" s="2">
        <v>46114</v>
      </c>
      <c r="N219" s="2">
        <v>46136</v>
      </c>
      <c r="O219" s="2">
        <v>46093</v>
      </c>
      <c r="P219" s="2">
        <v>46119</v>
      </c>
      <c r="Q219" s="2">
        <v>46164</v>
      </c>
      <c r="R219" s="2">
        <v>46133</v>
      </c>
      <c r="S219" s="2">
        <v>46161</v>
      </c>
      <c r="T219" s="2">
        <v>46185</v>
      </c>
      <c r="U219" s="1">
        <v>5</v>
      </c>
      <c r="Y219" s="1" t="str">
        <f t="shared" si="68"/>
        <v>DATE MANQUANTE</v>
      </c>
      <c r="Z219" s="1" t="str">
        <f t="shared" si="69"/>
        <v>DATE MANQUANTE</v>
      </c>
      <c r="AA219" s="1">
        <f t="shared" si="62"/>
        <v>89</v>
      </c>
      <c r="AB219" s="1">
        <f t="shared" si="63"/>
        <v>71</v>
      </c>
      <c r="AC219" s="1">
        <f t="shared" si="64"/>
        <v>20</v>
      </c>
      <c r="AD219" s="1">
        <f t="shared" si="70"/>
        <v>41</v>
      </c>
      <c r="AE219" s="1">
        <f t="shared" si="65"/>
        <v>-5</v>
      </c>
      <c r="AF219" s="1">
        <f t="shared" si="71"/>
        <v>65</v>
      </c>
      <c r="AG219" s="1">
        <f t="shared" si="72"/>
        <v>-23</v>
      </c>
      <c r="AH219" s="1">
        <f t="shared" si="66"/>
        <v>74</v>
      </c>
      <c r="AI219" s="1">
        <f t="shared" si="73"/>
        <v>54</v>
      </c>
      <c r="AJ219" s="1">
        <f t="shared" si="74"/>
        <v>38</v>
      </c>
      <c r="AK219" s="1">
        <f t="shared" si="75"/>
        <v>23</v>
      </c>
      <c r="AL219" s="1">
        <f t="shared" si="76"/>
        <v>54</v>
      </c>
      <c r="AM219" s="1">
        <f t="shared" si="77"/>
        <v>25</v>
      </c>
      <c r="AN219" s="1">
        <f t="shared" si="78"/>
        <v>0</v>
      </c>
      <c r="AO219" s="1">
        <f t="shared" si="61"/>
        <v>20</v>
      </c>
      <c r="AP219" s="1">
        <f t="shared" si="79"/>
        <v>33</v>
      </c>
      <c r="AQ219" s="1">
        <f t="shared" si="67"/>
        <v>-5</v>
      </c>
      <c r="AR219" s="1">
        <f t="shared" si="80"/>
        <v>18</v>
      </c>
    </row>
    <row r="220" spans="1:44" x14ac:dyDescent="0.3">
      <c r="A220" s="1">
        <v>26028</v>
      </c>
      <c r="B220" s="1" t="s">
        <v>51</v>
      </c>
      <c r="C220" s="3" t="s">
        <v>411</v>
      </c>
      <c r="D220" s="4">
        <v>8000</v>
      </c>
      <c r="E220" s="24">
        <f>_xlfn.XLOOKUP(A220,[1]PONCEBLANC!$Q:$Q,[1]PONCEBLANC!$J:$J,100,0)</f>
        <v>100</v>
      </c>
      <c r="F220" s="2" t="s">
        <v>397</v>
      </c>
      <c r="G220" s="2" t="s">
        <v>450</v>
      </c>
      <c r="H220" s="2">
        <v>46062</v>
      </c>
      <c r="I220" s="2">
        <v>46078</v>
      </c>
      <c r="J220" s="2">
        <v>46167</v>
      </c>
      <c r="K220" s="2">
        <v>46136</v>
      </c>
      <c r="L220" s="2">
        <v>46097</v>
      </c>
      <c r="M220" s="2">
        <v>46136</v>
      </c>
      <c r="N220" s="2">
        <v>46153</v>
      </c>
      <c r="O220" s="2">
        <v>46086</v>
      </c>
      <c r="P220" s="2">
        <v>46169</v>
      </c>
      <c r="Q220" s="2">
        <v>46163</v>
      </c>
      <c r="R220" s="2">
        <v>46192</v>
      </c>
      <c r="S220" s="2">
        <v>46192</v>
      </c>
      <c r="T220" s="2">
        <v>46199</v>
      </c>
      <c r="U220" s="1">
        <v>2</v>
      </c>
      <c r="Y220" s="1" t="str">
        <f t="shared" si="68"/>
        <v>DATE MANQUANTE</v>
      </c>
      <c r="Z220" s="1" t="str">
        <f t="shared" si="69"/>
        <v>DATE MANQUANTE</v>
      </c>
      <c r="AA220" s="1">
        <f t="shared" si="62"/>
        <v>99</v>
      </c>
      <c r="AB220" s="1">
        <f t="shared" si="63"/>
        <v>94</v>
      </c>
      <c r="AC220" s="1">
        <f t="shared" si="64"/>
        <v>0</v>
      </c>
      <c r="AD220" s="1">
        <f t="shared" si="70"/>
        <v>77</v>
      </c>
      <c r="AE220" s="1">
        <f t="shared" si="65"/>
        <v>12</v>
      </c>
      <c r="AF220" s="1">
        <f t="shared" si="71"/>
        <v>63</v>
      </c>
      <c r="AG220" s="1">
        <f t="shared" si="72"/>
        <v>2</v>
      </c>
      <c r="AH220" s="1">
        <f t="shared" si="66"/>
        <v>73</v>
      </c>
      <c r="AI220" s="1">
        <f t="shared" si="73"/>
        <v>65</v>
      </c>
      <c r="AJ220" s="1">
        <f t="shared" si="74"/>
        <v>54</v>
      </c>
      <c r="AK220" s="1">
        <f t="shared" si="75"/>
        <v>18</v>
      </c>
      <c r="AL220" s="1">
        <f t="shared" si="76"/>
        <v>54</v>
      </c>
      <c r="AM220" s="1">
        <f t="shared" si="77"/>
        <v>25</v>
      </c>
      <c r="AN220" s="1">
        <f t="shared" si="78"/>
        <v>11</v>
      </c>
      <c r="AO220" s="1">
        <f t="shared" si="61"/>
        <v>8</v>
      </c>
      <c r="AP220" s="1">
        <f t="shared" si="79"/>
        <v>4</v>
      </c>
      <c r="AQ220" s="1">
        <f t="shared" si="67"/>
        <v>17</v>
      </c>
      <c r="AR220" s="1">
        <f t="shared" si="80"/>
        <v>5</v>
      </c>
    </row>
    <row r="221" spans="1:44" x14ac:dyDescent="0.3">
      <c r="A221" s="1">
        <v>26029</v>
      </c>
      <c r="B221" s="1" t="s">
        <v>363</v>
      </c>
      <c r="C221" s="3" t="s">
        <v>272</v>
      </c>
      <c r="D221" s="4">
        <v>600</v>
      </c>
      <c r="E221" s="24">
        <f>_xlfn.XLOOKUP(A221,[1]PONCEBLANC!$Q:$Q,[1]PONCEBLANC!$J:$J,100,0)</f>
        <v>6948</v>
      </c>
      <c r="G221" s="2">
        <v>45995</v>
      </c>
      <c r="H221" s="2">
        <v>46063</v>
      </c>
      <c r="Y221" s="1" t="str">
        <f t="shared" si="68"/>
        <v>DATE MANQUANTE</v>
      </c>
      <c r="Z221" s="1">
        <f t="shared" si="69"/>
        <v>48</v>
      </c>
      <c r="AA221" s="1" t="str">
        <f t="shared" si="62"/>
        <v>NON LIVRE</v>
      </c>
      <c r="AB221" s="1" t="str">
        <f t="shared" si="63"/>
        <v>NON LIVRE</v>
      </c>
      <c r="AC221" s="1" t="str">
        <f t="shared" si="64"/>
        <v>NON LIVRE</v>
      </c>
      <c r="AD221" s="1" t="str">
        <f t="shared" si="70"/>
        <v>NON LIVRE</v>
      </c>
      <c r="AE221" s="1" t="str">
        <f t="shared" si="65"/>
        <v>NON LIVRE</v>
      </c>
      <c r="AF221" s="1" t="str">
        <f t="shared" si="71"/>
        <v>NON LIVRE</v>
      </c>
      <c r="AG221" s="1" t="str">
        <f t="shared" si="72"/>
        <v>NON LIVRE</v>
      </c>
      <c r="AH221" s="1" t="str">
        <f t="shared" si="66"/>
        <v>NON LIVRE</v>
      </c>
      <c r="AI221" s="1" t="str">
        <f t="shared" si="73"/>
        <v>NON LIVRE</v>
      </c>
      <c r="AJ221" s="1" t="str">
        <f t="shared" si="74"/>
        <v>NON LIVRE</v>
      </c>
      <c r="AK221" s="1" t="str">
        <f t="shared" si="75"/>
        <v>NON LIVRE</v>
      </c>
      <c r="AL221" s="1" t="str">
        <f t="shared" si="76"/>
        <v>NON LIVRE</v>
      </c>
      <c r="AM221" s="1" t="str">
        <f t="shared" si="77"/>
        <v>NON LIVRE</v>
      </c>
      <c r="AN221" s="1" t="str">
        <f t="shared" si="78"/>
        <v>NON LIVRE</v>
      </c>
      <c r="AO221" s="1" t="str">
        <f t="shared" si="61"/>
        <v>NON LIVRE</v>
      </c>
      <c r="AP221" s="1" t="str">
        <f t="shared" si="79"/>
        <v>NON LIVRE</v>
      </c>
      <c r="AQ221" s="1" t="str">
        <f t="shared" si="67"/>
        <v>NON LIVRE</v>
      </c>
      <c r="AR221" s="1" t="str">
        <f t="shared" si="80"/>
        <v>NON LIVRE</v>
      </c>
    </row>
    <row r="222" spans="1:44" x14ac:dyDescent="0.3">
      <c r="A222" s="1">
        <v>26030</v>
      </c>
      <c r="B222" s="1" t="s">
        <v>9</v>
      </c>
      <c r="C222" s="3" t="s">
        <v>348</v>
      </c>
      <c r="D222" s="4">
        <v>20000</v>
      </c>
      <c r="E222" s="24">
        <f>_xlfn.XLOOKUP(A222,[1]PONCEBLANC!$Q:$Q,[1]PONCEBLANC!$J:$J,100,0)</f>
        <v>29800</v>
      </c>
      <c r="G222" s="2">
        <v>46058</v>
      </c>
      <c r="H222" s="2">
        <v>46064</v>
      </c>
      <c r="I222" s="2">
        <v>46064</v>
      </c>
      <c r="J222" s="2">
        <v>46083</v>
      </c>
      <c r="K222" s="2">
        <v>46113</v>
      </c>
      <c r="L222" s="2">
        <v>46113</v>
      </c>
      <c r="M222" s="2">
        <v>46080</v>
      </c>
      <c r="N222" s="2">
        <v>46119</v>
      </c>
      <c r="O222" s="2">
        <v>46086</v>
      </c>
      <c r="P222" s="2">
        <v>46122</v>
      </c>
      <c r="Q222" s="2">
        <v>46121</v>
      </c>
      <c r="R222" s="2">
        <v>46136</v>
      </c>
      <c r="S222" s="2">
        <v>46150</v>
      </c>
      <c r="T222" s="2">
        <v>46150</v>
      </c>
      <c r="U222" s="1">
        <v>1</v>
      </c>
      <c r="Y222" s="1">
        <f t="shared" si="68"/>
        <v>66</v>
      </c>
      <c r="Z222" s="1">
        <f t="shared" si="69"/>
        <v>4</v>
      </c>
      <c r="AA222" s="1">
        <f t="shared" si="62"/>
        <v>62</v>
      </c>
      <c r="AB222" s="1">
        <f t="shared" si="63"/>
        <v>62</v>
      </c>
      <c r="AC222" s="1">
        <f t="shared" si="64"/>
        <v>10</v>
      </c>
      <c r="AD222" s="1">
        <f t="shared" si="70"/>
        <v>42</v>
      </c>
      <c r="AE222" s="1">
        <f t="shared" si="65"/>
        <v>0</v>
      </c>
      <c r="AF222" s="1">
        <f t="shared" si="71"/>
        <v>13</v>
      </c>
      <c r="AG222" s="1">
        <f t="shared" si="72"/>
        <v>29</v>
      </c>
      <c r="AH222" s="1">
        <f t="shared" si="66"/>
        <v>41</v>
      </c>
      <c r="AI222" s="1">
        <f t="shared" si="73"/>
        <v>39</v>
      </c>
      <c r="AJ222" s="1">
        <f t="shared" si="74"/>
        <v>12</v>
      </c>
      <c r="AK222" s="1">
        <f t="shared" si="75"/>
        <v>16</v>
      </c>
      <c r="AL222" s="1">
        <f t="shared" si="76"/>
        <v>35</v>
      </c>
      <c r="AM222" s="1">
        <f t="shared" si="77"/>
        <v>35</v>
      </c>
      <c r="AN222" s="1">
        <f t="shared" si="78"/>
        <v>4</v>
      </c>
      <c r="AO222" s="1">
        <f t="shared" si="61"/>
        <v>2</v>
      </c>
      <c r="AP222" s="1">
        <f t="shared" si="79"/>
        <v>1</v>
      </c>
      <c r="AQ222" s="1">
        <f t="shared" si="67"/>
        <v>20</v>
      </c>
      <c r="AR222" s="1">
        <f t="shared" si="80"/>
        <v>0</v>
      </c>
    </row>
    <row r="223" spans="1:44" x14ac:dyDescent="0.3">
      <c r="A223" s="1">
        <v>26031</v>
      </c>
      <c r="B223" s="1" t="s">
        <v>347</v>
      </c>
      <c r="C223" s="3" t="s">
        <v>349</v>
      </c>
      <c r="D223" s="4">
        <v>700</v>
      </c>
      <c r="E223" s="24">
        <f>_xlfn.XLOOKUP(A223,[1]PONCEBLANC!$Q:$Q,[1]PONCEBLANC!$J:$J,100,0)</f>
        <v>7546</v>
      </c>
      <c r="G223" s="2">
        <v>46048</v>
      </c>
      <c r="H223" s="2">
        <v>46064</v>
      </c>
      <c r="I223" s="2">
        <v>46064</v>
      </c>
      <c r="J223" s="2">
        <v>46079</v>
      </c>
      <c r="K223" s="2">
        <v>46066</v>
      </c>
      <c r="L223" s="2">
        <v>46090</v>
      </c>
      <c r="N223" s="2">
        <v>46099</v>
      </c>
      <c r="P223" s="2">
        <v>46108</v>
      </c>
      <c r="Q223" s="2">
        <v>46107</v>
      </c>
      <c r="R223" s="2">
        <v>46136</v>
      </c>
      <c r="S223" s="2">
        <v>46136</v>
      </c>
      <c r="T223" s="2">
        <v>46136</v>
      </c>
      <c r="U223" s="1">
        <v>1</v>
      </c>
      <c r="Y223" s="1">
        <f t="shared" si="68"/>
        <v>64</v>
      </c>
      <c r="Z223" s="1">
        <f t="shared" si="69"/>
        <v>12</v>
      </c>
      <c r="AA223" s="1">
        <f t="shared" si="62"/>
        <v>52</v>
      </c>
      <c r="AB223" s="1">
        <f t="shared" si="63"/>
        <v>52</v>
      </c>
      <c r="AC223" s="1">
        <f t="shared" si="64"/>
        <v>0</v>
      </c>
      <c r="AD223" s="1">
        <f t="shared" si="70"/>
        <v>32</v>
      </c>
      <c r="AE223" s="1">
        <f t="shared" si="65"/>
        <v>0</v>
      </c>
      <c r="AF223" s="1">
        <f t="shared" si="71"/>
        <v>11</v>
      </c>
      <c r="AG223" s="1">
        <f t="shared" si="72"/>
        <v>21</v>
      </c>
      <c r="AH223" s="1">
        <f t="shared" si="66"/>
        <v>31</v>
      </c>
      <c r="AI223" s="1">
        <f t="shared" si="73"/>
        <v>25</v>
      </c>
      <c r="AJ223" s="1" t="str">
        <f t="shared" si="74"/>
        <v>PAS DE DATE PAPIER</v>
      </c>
      <c r="AK223" s="1" t="str">
        <f t="shared" si="75"/>
        <v>PAS DE DATE CARTON</v>
      </c>
      <c r="AL223" s="1">
        <f t="shared" si="76"/>
        <v>2</v>
      </c>
      <c r="AM223" s="1">
        <f t="shared" si="77"/>
        <v>18</v>
      </c>
      <c r="AN223" s="1">
        <f t="shared" si="78"/>
        <v>7</v>
      </c>
      <c r="AO223" s="1">
        <f t="shared" si="61"/>
        <v>6</v>
      </c>
      <c r="AP223" s="1">
        <f t="shared" si="79"/>
        <v>1</v>
      </c>
      <c r="AQ223" s="1">
        <f t="shared" si="67"/>
        <v>20</v>
      </c>
      <c r="AR223" s="1">
        <f t="shared" si="80"/>
        <v>0</v>
      </c>
    </row>
    <row r="224" spans="1:44" x14ac:dyDescent="0.3">
      <c r="A224" s="1">
        <v>26032</v>
      </c>
      <c r="B224" s="1" t="s">
        <v>35</v>
      </c>
      <c r="C224" s="3" t="s">
        <v>408</v>
      </c>
      <c r="D224" s="4">
        <v>600</v>
      </c>
      <c r="E224" s="24">
        <f>_xlfn.XLOOKUP(A224,[1]PONCEBLANC!$Q:$Q,[1]PONCEBLANC!$J:$J,100,0)</f>
        <v>12540</v>
      </c>
      <c r="G224" s="2">
        <v>46063</v>
      </c>
      <c r="H224" s="2">
        <v>46064</v>
      </c>
      <c r="I224" s="2">
        <v>46064</v>
      </c>
      <c r="J224" s="2">
        <v>46076</v>
      </c>
      <c r="K224" s="2">
        <v>46105</v>
      </c>
      <c r="L224" s="2" t="s">
        <v>315</v>
      </c>
      <c r="N224" s="2">
        <v>46127</v>
      </c>
      <c r="O224" s="2">
        <v>46086</v>
      </c>
      <c r="P224" s="2">
        <v>46112</v>
      </c>
      <c r="Q224" s="2">
        <v>46164</v>
      </c>
      <c r="R224" s="2">
        <v>46171</v>
      </c>
      <c r="S224" s="2">
        <v>46185</v>
      </c>
      <c r="T224" s="2">
        <v>46185</v>
      </c>
      <c r="U224" s="1">
        <v>1</v>
      </c>
      <c r="Y224" s="1">
        <f t="shared" si="68"/>
        <v>88</v>
      </c>
      <c r="Z224" s="1">
        <f t="shared" si="69"/>
        <v>1</v>
      </c>
      <c r="AA224" s="1">
        <f t="shared" si="62"/>
        <v>87</v>
      </c>
      <c r="AB224" s="1">
        <f t="shared" si="63"/>
        <v>87</v>
      </c>
      <c r="AC224" s="1">
        <f t="shared" si="64"/>
        <v>10</v>
      </c>
      <c r="AD224" s="1">
        <f t="shared" si="70"/>
        <v>34</v>
      </c>
      <c r="AE224" s="1">
        <f t="shared" si="65"/>
        <v>0</v>
      </c>
      <c r="AF224" s="1">
        <f t="shared" si="71"/>
        <v>8</v>
      </c>
      <c r="AG224" s="1">
        <f t="shared" si="72"/>
        <v>26</v>
      </c>
      <c r="AH224" s="1">
        <f t="shared" si="66"/>
        <v>72</v>
      </c>
      <c r="AI224" s="1">
        <f t="shared" si="73"/>
        <v>45</v>
      </c>
      <c r="AJ224" s="1" t="str">
        <f t="shared" si="74"/>
        <v>PAS DE DATE PAPIER</v>
      </c>
      <c r="AK224" s="1">
        <f t="shared" si="75"/>
        <v>16</v>
      </c>
      <c r="AL224" s="1">
        <f t="shared" si="76"/>
        <v>29</v>
      </c>
      <c r="AM224" s="1" t="str">
        <f t="shared" si="77"/>
        <v>ANC FAB</v>
      </c>
      <c r="AN224" s="1">
        <f t="shared" si="78"/>
        <v>16</v>
      </c>
      <c r="AO224" s="1">
        <f t="shared" si="61"/>
        <v>27</v>
      </c>
      <c r="AP224" s="1">
        <f t="shared" si="79"/>
        <v>38</v>
      </c>
      <c r="AQ224" s="1">
        <f t="shared" si="67"/>
        <v>15</v>
      </c>
      <c r="AR224" s="1">
        <f t="shared" si="80"/>
        <v>0</v>
      </c>
    </row>
    <row r="225" spans="1:44" x14ac:dyDescent="0.3">
      <c r="A225" s="1">
        <v>26033</v>
      </c>
      <c r="B225" s="1" t="s">
        <v>17</v>
      </c>
      <c r="C225" s="3" t="s">
        <v>437</v>
      </c>
      <c r="D225" s="4">
        <v>4500</v>
      </c>
      <c r="E225" s="24">
        <f>_xlfn.XLOOKUP(A225,[1]PONCEBLANC!$Q:$Q,[1]PONCEBLANC!$J:$J,100,0)</f>
        <v>90720</v>
      </c>
      <c r="G225" s="2">
        <v>45968</v>
      </c>
      <c r="H225" s="2">
        <v>46069</v>
      </c>
      <c r="I225" s="2">
        <v>46079</v>
      </c>
      <c r="J225" s="2">
        <v>46140</v>
      </c>
      <c r="K225" s="2">
        <v>46141</v>
      </c>
      <c r="L225" s="2" t="s">
        <v>315</v>
      </c>
      <c r="N225" s="2">
        <v>46168</v>
      </c>
      <c r="O225" s="2">
        <v>46093</v>
      </c>
      <c r="P225" s="2">
        <v>46155</v>
      </c>
      <c r="Q225" s="2">
        <v>46177</v>
      </c>
      <c r="R225" s="2">
        <v>46199</v>
      </c>
      <c r="S225" s="2">
        <v>46199</v>
      </c>
      <c r="T225" s="2">
        <v>46206</v>
      </c>
      <c r="U225" s="1">
        <v>2</v>
      </c>
      <c r="Y225" s="1">
        <f t="shared" si="68"/>
        <v>170</v>
      </c>
      <c r="Z225" s="1">
        <f t="shared" si="69"/>
        <v>71</v>
      </c>
      <c r="AA225" s="1">
        <f t="shared" si="62"/>
        <v>99</v>
      </c>
      <c r="AB225" s="1">
        <f t="shared" si="63"/>
        <v>94</v>
      </c>
      <c r="AC225" s="1">
        <f t="shared" si="64"/>
        <v>0</v>
      </c>
      <c r="AD225" s="1">
        <f t="shared" si="70"/>
        <v>62</v>
      </c>
      <c r="AE225" s="1">
        <f t="shared" si="65"/>
        <v>8</v>
      </c>
      <c r="AF225" s="1">
        <f t="shared" si="71"/>
        <v>43</v>
      </c>
      <c r="AG225" s="1">
        <f t="shared" si="72"/>
        <v>11</v>
      </c>
      <c r="AH225" s="1">
        <f t="shared" si="66"/>
        <v>78</v>
      </c>
      <c r="AI225" s="1">
        <f t="shared" si="73"/>
        <v>71</v>
      </c>
      <c r="AJ225" s="1" t="str">
        <f t="shared" si="74"/>
        <v>PAS DE DATE PAPIER</v>
      </c>
      <c r="AK225" s="1">
        <f t="shared" si="75"/>
        <v>18</v>
      </c>
      <c r="AL225" s="1">
        <f t="shared" si="76"/>
        <v>52</v>
      </c>
      <c r="AM225" s="1" t="str">
        <f t="shared" si="77"/>
        <v>ANC FAB</v>
      </c>
      <c r="AN225" s="1">
        <f t="shared" si="78"/>
        <v>19</v>
      </c>
      <c r="AO225" s="1">
        <f t="shared" si="61"/>
        <v>7</v>
      </c>
      <c r="AP225" s="1">
        <f t="shared" si="79"/>
        <v>16</v>
      </c>
      <c r="AQ225" s="1">
        <f t="shared" si="67"/>
        <v>16</v>
      </c>
      <c r="AR225" s="1">
        <f t="shared" si="80"/>
        <v>5</v>
      </c>
    </row>
    <row r="226" spans="1:44" x14ac:dyDescent="0.3">
      <c r="A226" s="1">
        <v>26034</v>
      </c>
      <c r="B226" s="1" t="s">
        <v>341</v>
      </c>
      <c r="C226" s="3" t="s">
        <v>342</v>
      </c>
      <c r="D226" s="4">
        <v>2000</v>
      </c>
      <c r="E226" s="24">
        <f>_xlfn.XLOOKUP(A226,[1]PONCEBLANC!$Q:$Q,[1]PONCEBLANC!$J:$J,100,0)</f>
        <v>31300</v>
      </c>
      <c r="F226" s="2" t="s">
        <v>343</v>
      </c>
      <c r="G226" s="2">
        <v>46063</v>
      </c>
      <c r="H226" s="2">
        <v>46069</v>
      </c>
      <c r="J226" s="2">
        <v>46076</v>
      </c>
      <c r="K226" s="2">
        <v>46149</v>
      </c>
      <c r="L226" s="2">
        <v>46121</v>
      </c>
      <c r="N226" s="2">
        <v>46140</v>
      </c>
      <c r="O226" s="2">
        <v>46140</v>
      </c>
      <c r="P226" s="2">
        <v>46128</v>
      </c>
      <c r="Q226" s="2">
        <v>46140</v>
      </c>
      <c r="R226" s="2">
        <v>46164</v>
      </c>
      <c r="S226" s="2">
        <v>46171</v>
      </c>
      <c r="T226" s="2">
        <v>46171</v>
      </c>
      <c r="U226" s="1">
        <v>1</v>
      </c>
      <c r="Y226" s="1">
        <f t="shared" si="68"/>
        <v>78</v>
      </c>
      <c r="Z226" s="1">
        <f t="shared" si="69"/>
        <v>4</v>
      </c>
      <c r="AA226" s="1">
        <f t="shared" si="62"/>
        <v>74</v>
      </c>
      <c r="AB226" s="1">
        <f t="shared" si="63"/>
        <v>74</v>
      </c>
      <c r="AC226" s="1">
        <f t="shared" si="64"/>
        <v>5</v>
      </c>
      <c r="AD226" s="1">
        <f t="shared" si="70"/>
        <v>43</v>
      </c>
      <c r="AE226" s="1" t="str">
        <f t="shared" si="65"/>
        <v>PAS DE COMMANDE MATIERE</v>
      </c>
      <c r="AF226" s="1">
        <f t="shared" si="71"/>
        <v>32910</v>
      </c>
      <c r="AG226" s="1">
        <f t="shared" si="72"/>
        <v>38</v>
      </c>
      <c r="AH226" s="1">
        <f t="shared" si="66"/>
        <v>51</v>
      </c>
      <c r="AI226" s="1">
        <f t="shared" si="73"/>
        <v>51</v>
      </c>
      <c r="AJ226" s="1" t="str">
        <f t="shared" si="74"/>
        <v>PAS DE DATE PAPIER</v>
      </c>
      <c r="AK226" s="1">
        <f t="shared" si="75"/>
        <v>51</v>
      </c>
      <c r="AL226" s="1">
        <f t="shared" si="76"/>
        <v>58</v>
      </c>
      <c r="AM226" s="1">
        <f t="shared" si="77"/>
        <v>38</v>
      </c>
      <c r="AN226" s="1">
        <f t="shared" si="78"/>
        <v>-9</v>
      </c>
      <c r="AO226" s="1">
        <f t="shared" si="61"/>
        <v>0</v>
      </c>
      <c r="AP226" s="1">
        <f t="shared" si="79"/>
        <v>8</v>
      </c>
      <c r="AQ226" s="1">
        <f t="shared" si="67"/>
        <v>23</v>
      </c>
      <c r="AR226" s="1">
        <f t="shared" si="80"/>
        <v>0</v>
      </c>
    </row>
    <row r="227" spans="1:44" x14ac:dyDescent="0.3">
      <c r="A227" s="1">
        <v>26035</v>
      </c>
      <c r="B227" s="1" t="s">
        <v>17</v>
      </c>
      <c r="C227" s="3" t="s">
        <v>353</v>
      </c>
      <c r="D227" s="4">
        <v>2000</v>
      </c>
      <c r="E227" s="24">
        <f>_xlfn.XLOOKUP(A227,[1]PONCEBLANC!$Q:$Q,[1]PONCEBLANC!$J:$J,100,0)</f>
        <v>19200</v>
      </c>
      <c r="G227" s="2">
        <v>46051</v>
      </c>
      <c r="H227" s="2">
        <v>46070</v>
      </c>
      <c r="I227" s="2">
        <v>46071</v>
      </c>
      <c r="J227" s="2">
        <v>46079</v>
      </c>
      <c r="K227" s="2">
        <v>46071</v>
      </c>
      <c r="L227" s="2" t="s">
        <v>334</v>
      </c>
      <c r="M227" s="2">
        <v>46090</v>
      </c>
      <c r="N227" s="2">
        <v>46094</v>
      </c>
      <c r="O227" s="2">
        <v>46093</v>
      </c>
      <c r="P227" s="2">
        <v>46101</v>
      </c>
      <c r="Q227" s="2">
        <v>46101</v>
      </c>
      <c r="R227" s="2">
        <v>46130</v>
      </c>
      <c r="S227" s="2">
        <v>46129</v>
      </c>
      <c r="T227" s="2">
        <v>46129</v>
      </c>
      <c r="U227" s="1">
        <v>1</v>
      </c>
      <c r="Y227" s="1">
        <f t="shared" si="68"/>
        <v>56</v>
      </c>
      <c r="Z227" s="1">
        <f t="shared" si="69"/>
        <v>13</v>
      </c>
      <c r="AA227" s="1">
        <f t="shared" si="62"/>
        <v>43</v>
      </c>
      <c r="AB227" s="1">
        <f t="shared" si="63"/>
        <v>43</v>
      </c>
      <c r="AC227" s="1">
        <f t="shared" si="64"/>
        <v>-2</v>
      </c>
      <c r="AD227" s="1">
        <f t="shared" si="70"/>
        <v>23</v>
      </c>
      <c r="AE227" s="1">
        <f t="shared" si="65"/>
        <v>1</v>
      </c>
      <c r="AF227" s="1">
        <f t="shared" si="71"/>
        <v>6</v>
      </c>
      <c r="AG227" s="1">
        <f t="shared" si="72"/>
        <v>16</v>
      </c>
      <c r="AH227" s="1">
        <f t="shared" si="66"/>
        <v>23</v>
      </c>
      <c r="AI227" s="1">
        <f t="shared" si="73"/>
        <v>18</v>
      </c>
      <c r="AJ227" s="1">
        <f t="shared" si="74"/>
        <v>14</v>
      </c>
      <c r="AK227" s="1">
        <f t="shared" si="75"/>
        <v>17</v>
      </c>
      <c r="AL227" s="1">
        <f t="shared" si="76"/>
        <v>1</v>
      </c>
      <c r="AM227" s="1" t="str">
        <f t="shared" si="77"/>
        <v>X</v>
      </c>
      <c r="AN227" s="1">
        <f t="shared" si="78"/>
        <v>17</v>
      </c>
      <c r="AO227" s="1">
        <f t="shared" si="61"/>
        <v>5</v>
      </c>
      <c r="AP227" s="1">
        <f t="shared" si="79"/>
        <v>0</v>
      </c>
      <c r="AQ227" s="1">
        <f t="shared" si="67"/>
        <v>20</v>
      </c>
      <c r="AR227" s="1">
        <f t="shared" si="80"/>
        <v>0</v>
      </c>
    </row>
    <row r="228" spans="1:44" x14ac:dyDescent="0.3">
      <c r="A228" s="1">
        <v>26036</v>
      </c>
      <c r="E228" s="24">
        <f>_xlfn.XLOOKUP(A228,[1]PONCEBLANC!$Q:$Q,[1]PONCEBLANC!$J:$J,100,0)</f>
        <v>137800</v>
      </c>
      <c r="G228" s="2">
        <v>45826</v>
      </c>
      <c r="Y228" s="1" t="str">
        <f t="shared" si="68"/>
        <v>DATE MANQUANTE</v>
      </c>
      <c r="Z228" s="1" t="str">
        <f t="shared" si="69"/>
        <v>DATE MANQUANTE</v>
      </c>
      <c r="AA228" s="1" t="str">
        <f t="shared" si="62"/>
        <v>NON LIVRE</v>
      </c>
      <c r="AB228" s="1" t="str">
        <f t="shared" si="63"/>
        <v>NON LIVRE</v>
      </c>
      <c r="AC228" s="1" t="str">
        <f t="shared" si="64"/>
        <v>NON LIVRE</v>
      </c>
      <c r="AD228" s="1" t="str">
        <f t="shared" si="70"/>
        <v>NON LIVRE</v>
      </c>
      <c r="AE228" s="1" t="str">
        <f t="shared" si="65"/>
        <v>NON LIVRE</v>
      </c>
      <c r="AF228" s="1" t="str">
        <f t="shared" si="71"/>
        <v>NON LIVRE</v>
      </c>
      <c r="AG228" s="1" t="str">
        <f t="shared" si="72"/>
        <v>NON LIVRE</v>
      </c>
      <c r="AH228" s="1" t="str">
        <f t="shared" si="66"/>
        <v>NON LIVRE</v>
      </c>
      <c r="AI228" s="1" t="str">
        <f t="shared" si="73"/>
        <v>NON LIVRE</v>
      </c>
      <c r="AJ228" s="1" t="str">
        <f t="shared" si="74"/>
        <v>NON LIVRE</v>
      </c>
      <c r="AK228" s="1" t="str">
        <f t="shared" si="75"/>
        <v>NON LIVRE</v>
      </c>
      <c r="AL228" s="1" t="str">
        <f t="shared" si="76"/>
        <v>NON LIVRE</v>
      </c>
      <c r="AM228" s="1" t="str">
        <f t="shared" si="77"/>
        <v>NON LIVRE</v>
      </c>
      <c r="AN228" s="1" t="str">
        <f t="shared" si="78"/>
        <v>NON LIVRE</v>
      </c>
      <c r="AO228" s="1" t="str">
        <f t="shared" si="61"/>
        <v>NON LIVRE</v>
      </c>
      <c r="AP228" s="1" t="str">
        <f t="shared" si="79"/>
        <v>NON LIVRE</v>
      </c>
      <c r="AQ228" s="1" t="str">
        <f t="shared" si="67"/>
        <v>NON LIVRE</v>
      </c>
      <c r="AR228" s="1" t="str">
        <f t="shared" si="80"/>
        <v>NON LIVRE</v>
      </c>
    </row>
    <row r="229" spans="1:44" x14ac:dyDescent="0.3">
      <c r="A229" s="1">
        <v>26037</v>
      </c>
      <c r="E229" s="24">
        <f>_xlfn.XLOOKUP(A229,[1]PONCEBLANC!$Q:$Q,[1]PONCEBLANC!$J:$J,100,0)</f>
        <v>7470</v>
      </c>
      <c r="G229" s="2">
        <v>45987</v>
      </c>
      <c r="Y229" s="1" t="str">
        <f t="shared" si="68"/>
        <v>DATE MANQUANTE</v>
      </c>
      <c r="Z229" s="1" t="str">
        <f t="shared" si="69"/>
        <v>DATE MANQUANTE</v>
      </c>
      <c r="AA229" s="1" t="str">
        <f t="shared" si="62"/>
        <v>NON LIVRE</v>
      </c>
      <c r="AB229" s="1" t="str">
        <f t="shared" si="63"/>
        <v>NON LIVRE</v>
      </c>
      <c r="AC229" s="1" t="str">
        <f t="shared" si="64"/>
        <v>NON LIVRE</v>
      </c>
      <c r="AD229" s="1" t="str">
        <f t="shared" si="70"/>
        <v>NON LIVRE</v>
      </c>
      <c r="AE229" s="1" t="str">
        <f t="shared" si="65"/>
        <v>NON LIVRE</v>
      </c>
      <c r="AF229" s="1" t="str">
        <f t="shared" si="71"/>
        <v>NON LIVRE</v>
      </c>
      <c r="AG229" s="1" t="str">
        <f t="shared" si="72"/>
        <v>NON LIVRE</v>
      </c>
      <c r="AH229" s="1" t="str">
        <f t="shared" si="66"/>
        <v>NON LIVRE</v>
      </c>
      <c r="AI229" s="1" t="str">
        <f t="shared" si="73"/>
        <v>NON LIVRE</v>
      </c>
      <c r="AJ229" s="1" t="str">
        <f t="shared" si="74"/>
        <v>NON LIVRE</v>
      </c>
      <c r="AK229" s="1" t="str">
        <f t="shared" si="75"/>
        <v>NON LIVRE</v>
      </c>
      <c r="AL229" s="1" t="str">
        <f t="shared" si="76"/>
        <v>NON LIVRE</v>
      </c>
      <c r="AM229" s="1" t="str">
        <f t="shared" si="77"/>
        <v>NON LIVRE</v>
      </c>
      <c r="AN229" s="1" t="str">
        <f t="shared" si="78"/>
        <v>NON LIVRE</v>
      </c>
      <c r="AO229" s="1" t="str">
        <f t="shared" si="61"/>
        <v>NON LIVRE</v>
      </c>
      <c r="AP229" s="1" t="str">
        <f t="shared" si="79"/>
        <v>NON LIVRE</v>
      </c>
      <c r="AQ229" s="1" t="str">
        <f t="shared" si="67"/>
        <v>NON LIVRE</v>
      </c>
      <c r="AR229" s="1" t="str">
        <f t="shared" si="80"/>
        <v>NON LIVRE</v>
      </c>
    </row>
    <row r="230" spans="1:44" x14ac:dyDescent="0.3">
      <c r="A230" s="1">
        <v>26038</v>
      </c>
      <c r="E230" s="24">
        <f>_xlfn.XLOOKUP(A230,[1]PONCEBLANC!$Q:$Q,[1]PONCEBLANC!$J:$J,100,0)</f>
        <v>2257.1999999999998</v>
      </c>
      <c r="G230" s="2">
        <v>46058</v>
      </c>
      <c r="Y230" s="1" t="str">
        <f t="shared" si="68"/>
        <v>DATE MANQUANTE</v>
      </c>
      <c r="Z230" s="1" t="str">
        <f t="shared" si="69"/>
        <v>DATE MANQUANTE</v>
      </c>
      <c r="AA230" s="1" t="str">
        <f t="shared" si="62"/>
        <v>NON LIVRE</v>
      </c>
      <c r="AB230" s="1" t="str">
        <f t="shared" si="63"/>
        <v>NON LIVRE</v>
      </c>
      <c r="AC230" s="1" t="str">
        <f t="shared" si="64"/>
        <v>NON LIVRE</v>
      </c>
      <c r="AD230" s="1" t="str">
        <f t="shared" si="70"/>
        <v>NON LIVRE</v>
      </c>
      <c r="AE230" s="1" t="str">
        <f t="shared" si="65"/>
        <v>NON LIVRE</v>
      </c>
      <c r="AF230" s="1" t="str">
        <f t="shared" si="71"/>
        <v>NON LIVRE</v>
      </c>
      <c r="AG230" s="1" t="str">
        <f t="shared" si="72"/>
        <v>NON LIVRE</v>
      </c>
      <c r="AH230" s="1" t="str">
        <f t="shared" si="66"/>
        <v>NON LIVRE</v>
      </c>
      <c r="AI230" s="1" t="str">
        <f t="shared" si="73"/>
        <v>NON LIVRE</v>
      </c>
      <c r="AJ230" s="1" t="str">
        <f t="shared" si="74"/>
        <v>NON LIVRE</v>
      </c>
      <c r="AK230" s="1" t="str">
        <f t="shared" si="75"/>
        <v>NON LIVRE</v>
      </c>
      <c r="AL230" s="1" t="str">
        <f t="shared" si="76"/>
        <v>NON LIVRE</v>
      </c>
      <c r="AM230" s="1" t="str">
        <f t="shared" si="77"/>
        <v>NON LIVRE</v>
      </c>
      <c r="AN230" s="1" t="str">
        <f t="shared" si="78"/>
        <v>NON LIVRE</v>
      </c>
      <c r="AO230" s="1" t="str">
        <f t="shared" si="61"/>
        <v>NON LIVRE</v>
      </c>
      <c r="AP230" s="1" t="str">
        <f t="shared" si="79"/>
        <v>NON LIVRE</v>
      </c>
      <c r="AQ230" s="1" t="str">
        <f t="shared" si="67"/>
        <v>NON LIVRE</v>
      </c>
      <c r="AR230" s="1" t="str">
        <f t="shared" si="80"/>
        <v>NON LIVRE</v>
      </c>
    </row>
    <row r="231" spans="1:44" x14ac:dyDescent="0.3">
      <c r="A231" s="1">
        <v>26039</v>
      </c>
      <c r="B231" s="1" t="s">
        <v>412</v>
      </c>
      <c r="C231" s="3" t="s">
        <v>413</v>
      </c>
      <c r="D231" s="4">
        <v>10000</v>
      </c>
      <c r="E231" s="24">
        <f>_xlfn.XLOOKUP(A231,[1]PONCEBLANC!$Q:$Q,[1]PONCEBLANC!$J:$J,100,0)</f>
        <v>46500</v>
      </c>
      <c r="F231" s="2" t="s">
        <v>397</v>
      </c>
      <c r="G231" s="2">
        <v>46044</v>
      </c>
      <c r="H231" s="2">
        <v>46073</v>
      </c>
      <c r="J231" s="2">
        <v>46099</v>
      </c>
      <c r="K231" s="2">
        <v>46077</v>
      </c>
      <c r="L231" s="2" t="s">
        <v>315</v>
      </c>
      <c r="M231" s="2">
        <v>46094</v>
      </c>
      <c r="N231" s="2">
        <v>46136</v>
      </c>
      <c r="P231" s="2">
        <v>46106</v>
      </c>
      <c r="R231" s="2">
        <v>46164</v>
      </c>
      <c r="S231" s="2">
        <v>46164</v>
      </c>
      <c r="T231" s="2">
        <v>46192</v>
      </c>
      <c r="U231" s="1">
        <v>5</v>
      </c>
      <c r="Y231" s="1">
        <f t="shared" si="68"/>
        <v>106</v>
      </c>
      <c r="Z231" s="1">
        <f t="shared" si="69"/>
        <v>21</v>
      </c>
      <c r="AA231" s="1">
        <f t="shared" si="62"/>
        <v>85</v>
      </c>
      <c r="AB231" s="1">
        <f t="shared" si="63"/>
        <v>65</v>
      </c>
      <c r="AC231" s="1">
        <f t="shared" si="64"/>
        <v>0</v>
      </c>
      <c r="AD231" s="1">
        <f t="shared" si="70"/>
        <v>23</v>
      </c>
      <c r="AE231" s="1" t="str">
        <f t="shared" si="65"/>
        <v>PAS DE COMMANDE MATIERE</v>
      </c>
      <c r="AF231" s="1">
        <f t="shared" si="71"/>
        <v>32927</v>
      </c>
      <c r="AG231" s="1">
        <f t="shared" si="72"/>
        <v>5</v>
      </c>
      <c r="AH231" s="1" t="str">
        <f t="shared" si="66"/>
        <v>PAS DE DEPART TIRAGES OU ACHATS</v>
      </c>
      <c r="AI231" s="1">
        <f t="shared" si="73"/>
        <v>45</v>
      </c>
      <c r="AJ231" s="1">
        <f t="shared" si="74"/>
        <v>15</v>
      </c>
      <c r="AK231" s="1" t="str">
        <f t="shared" si="75"/>
        <v>PAS DE DATE CARTON</v>
      </c>
      <c r="AL231" s="1">
        <f t="shared" si="76"/>
        <v>2</v>
      </c>
      <c r="AM231" s="1" t="str">
        <f t="shared" si="77"/>
        <v>ANC FAB</v>
      </c>
      <c r="AN231" s="1">
        <f t="shared" si="78"/>
        <v>43</v>
      </c>
      <c r="AO231" s="1" t="str">
        <f t="shared" ref="AO231:AO258" si="81">IFERROR(IF($T231="","NON LIVRE",IF($N231="","PAS D'IMPRESSION",IF($Q231="","PAS DE DATE DEPART EN PROD TIRAGES ET ACHATS",NETWORKDAYS($N231,$Q231)-1))),$Q231)</f>
        <v>PAS DE DATE DEPART EN PROD TIRAGES ET ACHATS</v>
      </c>
      <c r="AP231" s="1">
        <f t="shared" si="79"/>
        <v>0</v>
      </c>
      <c r="AQ231" s="1">
        <f t="shared" si="67"/>
        <v>42</v>
      </c>
      <c r="AR231" s="1" t="str">
        <f t="shared" si="80"/>
        <v>PAS DE DATE VALIDATION MODELE CLIENT</v>
      </c>
    </row>
    <row r="232" spans="1:44" x14ac:dyDescent="0.3">
      <c r="A232" s="1">
        <v>26040</v>
      </c>
      <c r="E232" s="24">
        <f>_xlfn.XLOOKUP(A232,[1]PONCEBLANC!$Q:$Q,[1]PONCEBLANC!$J:$J,100,0)</f>
        <v>61700</v>
      </c>
      <c r="G232" s="2">
        <v>45894</v>
      </c>
      <c r="Y232" s="1" t="str">
        <f t="shared" si="68"/>
        <v>DATE MANQUANTE</v>
      </c>
      <c r="Z232" s="1" t="str">
        <f t="shared" si="69"/>
        <v>DATE MANQUANTE</v>
      </c>
      <c r="AA232" s="1" t="str">
        <f t="shared" si="62"/>
        <v>NON LIVRE</v>
      </c>
      <c r="AB232" s="1" t="str">
        <f t="shared" si="63"/>
        <v>NON LIVRE</v>
      </c>
      <c r="AC232" s="1" t="str">
        <f t="shared" si="64"/>
        <v>NON LIVRE</v>
      </c>
      <c r="AD232" s="1" t="str">
        <f t="shared" si="70"/>
        <v>NON LIVRE</v>
      </c>
      <c r="AE232" s="1" t="str">
        <f t="shared" si="65"/>
        <v>NON LIVRE</v>
      </c>
      <c r="AF232" s="1" t="str">
        <f t="shared" si="71"/>
        <v>NON LIVRE</v>
      </c>
      <c r="AG232" s="1" t="str">
        <f t="shared" si="72"/>
        <v>NON LIVRE</v>
      </c>
      <c r="AH232" s="1" t="str">
        <f t="shared" si="66"/>
        <v>NON LIVRE</v>
      </c>
      <c r="AI232" s="1" t="str">
        <f t="shared" si="73"/>
        <v>NON LIVRE</v>
      </c>
      <c r="AJ232" s="1" t="str">
        <f t="shared" si="74"/>
        <v>NON LIVRE</v>
      </c>
      <c r="AK232" s="1" t="str">
        <f t="shared" si="75"/>
        <v>NON LIVRE</v>
      </c>
      <c r="AL232" s="1" t="str">
        <f t="shared" si="76"/>
        <v>NON LIVRE</v>
      </c>
      <c r="AM232" s="1" t="str">
        <f t="shared" si="77"/>
        <v>NON LIVRE</v>
      </c>
      <c r="AN232" s="1" t="str">
        <f t="shared" si="78"/>
        <v>NON LIVRE</v>
      </c>
      <c r="AO232" s="1" t="str">
        <f t="shared" si="81"/>
        <v>NON LIVRE</v>
      </c>
      <c r="AP232" s="1" t="str">
        <f t="shared" si="79"/>
        <v>NON LIVRE</v>
      </c>
      <c r="AQ232" s="1" t="str">
        <f t="shared" si="67"/>
        <v>NON LIVRE</v>
      </c>
      <c r="AR232" s="1" t="str">
        <f t="shared" si="80"/>
        <v>NON LIVRE</v>
      </c>
    </row>
    <row r="233" spans="1:44" x14ac:dyDescent="0.3">
      <c r="A233" s="1">
        <v>26041</v>
      </c>
      <c r="E233" s="24">
        <f>_xlfn.XLOOKUP(A233,[1]PONCEBLANC!$Q:$Q,[1]PONCEBLANC!$J:$J,100,0)</f>
        <v>7260</v>
      </c>
      <c r="G233" s="2">
        <v>46064</v>
      </c>
      <c r="Y233" s="1" t="str">
        <f t="shared" si="68"/>
        <v>DATE MANQUANTE</v>
      </c>
      <c r="Z233" s="1" t="str">
        <f t="shared" si="69"/>
        <v>DATE MANQUANTE</v>
      </c>
      <c r="AA233" s="1" t="str">
        <f t="shared" si="62"/>
        <v>NON LIVRE</v>
      </c>
      <c r="AB233" s="1" t="str">
        <f t="shared" si="63"/>
        <v>NON LIVRE</v>
      </c>
      <c r="AC233" s="1" t="str">
        <f t="shared" si="64"/>
        <v>NON LIVRE</v>
      </c>
      <c r="AD233" s="1" t="str">
        <f t="shared" si="70"/>
        <v>NON LIVRE</v>
      </c>
      <c r="AE233" s="1" t="str">
        <f t="shared" si="65"/>
        <v>NON LIVRE</v>
      </c>
      <c r="AF233" s="1" t="str">
        <f t="shared" si="71"/>
        <v>NON LIVRE</v>
      </c>
      <c r="AG233" s="1" t="str">
        <f t="shared" si="72"/>
        <v>NON LIVRE</v>
      </c>
      <c r="AH233" s="1" t="str">
        <f t="shared" si="66"/>
        <v>NON LIVRE</v>
      </c>
      <c r="AI233" s="1" t="str">
        <f t="shared" si="73"/>
        <v>NON LIVRE</v>
      </c>
      <c r="AJ233" s="1" t="str">
        <f t="shared" si="74"/>
        <v>NON LIVRE</v>
      </c>
      <c r="AK233" s="1" t="str">
        <f t="shared" si="75"/>
        <v>NON LIVRE</v>
      </c>
      <c r="AL233" s="1" t="str">
        <f t="shared" si="76"/>
        <v>NON LIVRE</v>
      </c>
      <c r="AM233" s="1" t="str">
        <f t="shared" si="77"/>
        <v>NON LIVRE</v>
      </c>
      <c r="AN233" s="1" t="str">
        <f t="shared" si="78"/>
        <v>NON LIVRE</v>
      </c>
      <c r="AO233" s="1" t="str">
        <f t="shared" si="81"/>
        <v>NON LIVRE</v>
      </c>
      <c r="AP233" s="1" t="str">
        <f t="shared" si="79"/>
        <v>NON LIVRE</v>
      </c>
      <c r="AQ233" s="1" t="str">
        <f t="shared" si="67"/>
        <v>NON LIVRE</v>
      </c>
      <c r="AR233" s="1" t="str">
        <f t="shared" si="80"/>
        <v>NON LIVRE</v>
      </c>
    </row>
    <row r="234" spans="1:44" x14ac:dyDescent="0.3">
      <c r="A234" s="1">
        <v>26042</v>
      </c>
      <c r="E234" s="24">
        <f>_xlfn.XLOOKUP(A234,[1]PONCEBLANC!$Q:$Q,[1]PONCEBLANC!$J:$J,100,0)</f>
        <v>5984</v>
      </c>
      <c r="G234" s="2">
        <v>45996</v>
      </c>
      <c r="Y234" s="1" t="str">
        <f t="shared" si="68"/>
        <v>DATE MANQUANTE</v>
      </c>
      <c r="Z234" s="1" t="str">
        <f t="shared" si="69"/>
        <v>DATE MANQUANTE</v>
      </c>
      <c r="AA234" s="1" t="str">
        <f t="shared" si="62"/>
        <v>NON LIVRE</v>
      </c>
      <c r="AB234" s="1" t="str">
        <f t="shared" si="63"/>
        <v>NON LIVRE</v>
      </c>
      <c r="AC234" s="1" t="str">
        <f t="shared" si="64"/>
        <v>NON LIVRE</v>
      </c>
      <c r="AD234" s="1" t="str">
        <f t="shared" si="70"/>
        <v>NON LIVRE</v>
      </c>
      <c r="AE234" s="1" t="str">
        <f t="shared" si="65"/>
        <v>NON LIVRE</v>
      </c>
      <c r="AF234" s="1" t="str">
        <f t="shared" si="71"/>
        <v>NON LIVRE</v>
      </c>
      <c r="AG234" s="1" t="str">
        <f t="shared" si="72"/>
        <v>NON LIVRE</v>
      </c>
      <c r="AH234" s="1" t="str">
        <f t="shared" si="66"/>
        <v>NON LIVRE</v>
      </c>
      <c r="AI234" s="1" t="str">
        <f t="shared" si="73"/>
        <v>NON LIVRE</v>
      </c>
      <c r="AJ234" s="1" t="str">
        <f t="shared" si="74"/>
        <v>NON LIVRE</v>
      </c>
      <c r="AK234" s="1" t="str">
        <f t="shared" si="75"/>
        <v>NON LIVRE</v>
      </c>
      <c r="AL234" s="1" t="str">
        <f t="shared" si="76"/>
        <v>NON LIVRE</v>
      </c>
      <c r="AM234" s="1" t="str">
        <f t="shared" si="77"/>
        <v>NON LIVRE</v>
      </c>
      <c r="AN234" s="1" t="str">
        <f t="shared" si="78"/>
        <v>NON LIVRE</v>
      </c>
      <c r="AO234" s="1" t="str">
        <f t="shared" si="81"/>
        <v>NON LIVRE</v>
      </c>
      <c r="AP234" s="1" t="str">
        <f t="shared" si="79"/>
        <v>NON LIVRE</v>
      </c>
      <c r="AQ234" s="1" t="str">
        <f t="shared" si="67"/>
        <v>NON LIVRE</v>
      </c>
      <c r="AR234" s="1" t="str">
        <f t="shared" si="80"/>
        <v>NON LIVRE</v>
      </c>
    </row>
    <row r="235" spans="1:44" x14ac:dyDescent="0.3">
      <c r="A235" s="1">
        <v>26043</v>
      </c>
      <c r="E235" s="24">
        <f>_xlfn.XLOOKUP(A235,[1]PONCEBLANC!$Q:$Q,[1]PONCEBLANC!$J:$J,100,0)</f>
        <v>29760</v>
      </c>
      <c r="G235" s="2">
        <v>46050</v>
      </c>
      <c r="Y235" s="1" t="str">
        <f t="shared" si="68"/>
        <v>DATE MANQUANTE</v>
      </c>
      <c r="Z235" s="1" t="str">
        <f t="shared" si="69"/>
        <v>DATE MANQUANTE</v>
      </c>
      <c r="AA235" s="1" t="str">
        <f t="shared" si="62"/>
        <v>NON LIVRE</v>
      </c>
      <c r="AB235" s="1" t="str">
        <f t="shared" si="63"/>
        <v>NON LIVRE</v>
      </c>
      <c r="AC235" s="1" t="str">
        <f t="shared" si="64"/>
        <v>NON LIVRE</v>
      </c>
      <c r="AD235" s="1" t="str">
        <f t="shared" si="70"/>
        <v>NON LIVRE</v>
      </c>
      <c r="AE235" s="1" t="str">
        <f t="shared" si="65"/>
        <v>NON LIVRE</v>
      </c>
      <c r="AF235" s="1" t="str">
        <f t="shared" si="71"/>
        <v>NON LIVRE</v>
      </c>
      <c r="AG235" s="1" t="str">
        <f t="shared" si="72"/>
        <v>NON LIVRE</v>
      </c>
      <c r="AH235" s="1" t="str">
        <f t="shared" si="66"/>
        <v>NON LIVRE</v>
      </c>
      <c r="AI235" s="1" t="str">
        <f t="shared" si="73"/>
        <v>NON LIVRE</v>
      </c>
      <c r="AJ235" s="1" t="str">
        <f t="shared" si="74"/>
        <v>NON LIVRE</v>
      </c>
      <c r="AK235" s="1" t="str">
        <f t="shared" si="75"/>
        <v>NON LIVRE</v>
      </c>
      <c r="AL235" s="1" t="str">
        <f t="shared" si="76"/>
        <v>NON LIVRE</v>
      </c>
      <c r="AM235" s="1" t="str">
        <f t="shared" si="77"/>
        <v>NON LIVRE</v>
      </c>
      <c r="AN235" s="1" t="str">
        <f t="shared" si="78"/>
        <v>NON LIVRE</v>
      </c>
      <c r="AO235" s="1" t="str">
        <f t="shared" si="81"/>
        <v>NON LIVRE</v>
      </c>
      <c r="AP235" s="1" t="str">
        <f t="shared" si="79"/>
        <v>NON LIVRE</v>
      </c>
      <c r="AQ235" s="1" t="str">
        <f t="shared" si="67"/>
        <v>NON LIVRE</v>
      </c>
      <c r="AR235" s="1" t="str">
        <f t="shared" si="80"/>
        <v>NON LIVRE</v>
      </c>
    </row>
    <row r="236" spans="1:44" x14ac:dyDescent="0.3">
      <c r="A236" s="1">
        <v>26044</v>
      </c>
      <c r="B236" s="1" t="s">
        <v>51</v>
      </c>
      <c r="C236" s="3" t="s">
        <v>350</v>
      </c>
      <c r="D236" s="4">
        <v>1000</v>
      </c>
      <c r="E236" s="24">
        <f>_xlfn.XLOOKUP(A236,[1]PONCEBLANC!$Q:$Q,[1]PONCEBLANC!$J:$J,100,0)</f>
        <v>4360</v>
      </c>
      <c r="G236" s="2">
        <v>46066</v>
      </c>
      <c r="H236" s="2">
        <v>46076</v>
      </c>
      <c r="I236" s="2">
        <v>46084</v>
      </c>
      <c r="J236" s="2">
        <v>46090</v>
      </c>
      <c r="K236" s="2">
        <v>46084</v>
      </c>
      <c r="N236" s="2">
        <v>46104</v>
      </c>
      <c r="O236" s="2" t="s">
        <v>334</v>
      </c>
      <c r="P236" s="2">
        <v>46108</v>
      </c>
      <c r="Q236" s="2">
        <v>46107</v>
      </c>
      <c r="R236" s="2">
        <v>46136</v>
      </c>
      <c r="S236" s="2">
        <v>46136</v>
      </c>
      <c r="T236" s="2">
        <v>46136</v>
      </c>
      <c r="U236" s="1">
        <v>1</v>
      </c>
      <c r="Y236" s="1">
        <f t="shared" si="68"/>
        <v>50</v>
      </c>
      <c r="Z236" s="1">
        <f t="shared" si="69"/>
        <v>6</v>
      </c>
      <c r="AA236" s="1">
        <f t="shared" si="62"/>
        <v>44</v>
      </c>
      <c r="AB236" s="1">
        <f t="shared" si="63"/>
        <v>44</v>
      </c>
      <c r="AC236" s="1">
        <f t="shared" si="64"/>
        <v>0</v>
      </c>
      <c r="AD236" s="1">
        <f t="shared" si="70"/>
        <v>24</v>
      </c>
      <c r="AE236" s="1">
        <f t="shared" si="65"/>
        <v>6</v>
      </c>
      <c r="AF236" s="1">
        <f t="shared" si="71"/>
        <v>4</v>
      </c>
      <c r="AG236" s="1">
        <f t="shared" si="72"/>
        <v>14</v>
      </c>
      <c r="AH236" s="1">
        <f t="shared" si="66"/>
        <v>23</v>
      </c>
      <c r="AI236" s="1">
        <f t="shared" si="73"/>
        <v>20</v>
      </c>
      <c r="AJ236" s="1" t="str">
        <f t="shared" si="74"/>
        <v>PAS DE DATE PAPIER</v>
      </c>
      <c r="AK236" s="1" t="str">
        <f t="shared" si="75"/>
        <v>X</v>
      </c>
      <c r="AL236" s="1">
        <f t="shared" si="76"/>
        <v>6</v>
      </c>
      <c r="AM236" s="1" t="str">
        <f t="shared" si="77"/>
        <v>PAS DE DATE VALIDATION MODELE CLIENT</v>
      </c>
      <c r="AN236" s="1">
        <f t="shared" si="78"/>
        <v>14</v>
      </c>
      <c r="AO236" s="1">
        <f t="shared" si="81"/>
        <v>3</v>
      </c>
      <c r="AP236" s="1">
        <f t="shared" si="79"/>
        <v>1</v>
      </c>
      <c r="AQ236" s="1">
        <f t="shared" si="67"/>
        <v>20</v>
      </c>
      <c r="AR236" s="1">
        <f t="shared" si="80"/>
        <v>0</v>
      </c>
    </row>
    <row r="237" spans="1:44" x14ac:dyDescent="0.3">
      <c r="A237" s="1">
        <v>26045</v>
      </c>
      <c r="B237" s="1" t="s">
        <v>51</v>
      </c>
      <c r="C237" s="3" t="s">
        <v>345</v>
      </c>
      <c r="D237" s="4">
        <v>300</v>
      </c>
      <c r="E237" s="24">
        <f>_xlfn.XLOOKUP(A237,[1]PONCEBLANC!$Q:$Q,[1]PONCEBLANC!$J:$J,100,0)</f>
        <v>3810</v>
      </c>
      <c r="G237" s="2">
        <v>46066</v>
      </c>
      <c r="H237" s="2">
        <v>46076</v>
      </c>
      <c r="I237" s="2">
        <v>46079</v>
      </c>
      <c r="J237" s="2">
        <v>46115</v>
      </c>
      <c r="K237" s="2">
        <v>46091</v>
      </c>
      <c r="L237" s="2">
        <v>46111</v>
      </c>
      <c r="N237" s="2">
        <v>46120</v>
      </c>
      <c r="P237" s="2">
        <v>46129</v>
      </c>
      <c r="Q237" s="2">
        <v>46128</v>
      </c>
      <c r="R237" s="2">
        <v>46150</v>
      </c>
      <c r="S237" s="2">
        <v>46150</v>
      </c>
      <c r="T237" s="2">
        <v>46150</v>
      </c>
      <c r="U237" s="1">
        <v>1</v>
      </c>
      <c r="Y237" s="1">
        <f t="shared" si="68"/>
        <v>60</v>
      </c>
      <c r="Z237" s="1">
        <f t="shared" si="69"/>
        <v>6</v>
      </c>
      <c r="AA237" s="1">
        <f t="shared" si="62"/>
        <v>54</v>
      </c>
      <c r="AB237" s="1">
        <f t="shared" si="63"/>
        <v>54</v>
      </c>
      <c r="AC237" s="1">
        <f t="shared" si="64"/>
        <v>0</v>
      </c>
      <c r="AD237" s="1">
        <f t="shared" si="70"/>
        <v>39</v>
      </c>
      <c r="AE237" s="1">
        <f t="shared" si="65"/>
        <v>3</v>
      </c>
      <c r="AF237" s="1">
        <f t="shared" si="71"/>
        <v>26</v>
      </c>
      <c r="AG237" s="1">
        <f t="shared" si="72"/>
        <v>10</v>
      </c>
      <c r="AH237" s="1">
        <f t="shared" si="66"/>
        <v>38</v>
      </c>
      <c r="AI237" s="1">
        <f t="shared" si="73"/>
        <v>32</v>
      </c>
      <c r="AJ237" s="1" t="str">
        <f t="shared" si="74"/>
        <v>PAS DE DATE PAPIER</v>
      </c>
      <c r="AK237" s="1" t="str">
        <f t="shared" si="75"/>
        <v>PAS DE DATE CARTON</v>
      </c>
      <c r="AL237" s="1">
        <f t="shared" si="76"/>
        <v>11</v>
      </c>
      <c r="AM237" s="1">
        <f t="shared" si="77"/>
        <v>25</v>
      </c>
      <c r="AN237" s="1">
        <f t="shared" si="78"/>
        <v>7</v>
      </c>
      <c r="AO237" s="1">
        <f t="shared" si="81"/>
        <v>6</v>
      </c>
      <c r="AP237" s="1">
        <f t="shared" si="79"/>
        <v>1</v>
      </c>
      <c r="AQ237" s="1">
        <f t="shared" si="67"/>
        <v>15</v>
      </c>
      <c r="AR237" s="1">
        <f t="shared" si="80"/>
        <v>0</v>
      </c>
    </row>
    <row r="238" spans="1:44" x14ac:dyDescent="0.3">
      <c r="A238" s="1">
        <v>26046</v>
      </c>
      <c r="B238" s="1" t="s">
        <v>51</v>
      </c>
      <c r="C238" s="3" t="s">
        <v>346</v>
      </c>
      <c r="D238" s="4">
        <v>280</v>
      </c>
      <c r="E238" s="24">
        <f>_xlfn.XLOOKUP(A238,[1]PONCEBLANC!$Q:$Q,[1]PONCEBLANC!$J:$J,100,0)</f>
        <v>4095.3</v>
      </c>
      <c r="G238" s="2">
        <v>46066</v>
      </c>
      <c r="H238" s="2">
        <v>46076</v>
      </c>
      <c r="I238" s="2">
        <v>46085</v>
      </c>
      <c r="J238" s="2">
        <v>46115</v>
      </c>
      <c r="K238" s="2">
        <v>46091</v>
      </c>
      <c r="L238" s="2">
        <v>46111</v>
      </c>
      <c r="N238" s="2">
        <v>46120</v>
      </c>
      <c r="P238" s="2">
        <v>46129</v>
      </c>
      <c r="Q238" s="2">
        <v>46128</v>
      </c>
      <c r="R238" s="2">
        <v>46150</v>
      </c>
      <c r="S238" s="2">
        <v>46150</v>
      </c>
      <c r="T238" s="2">
        <v>46150</v>
      </c>
      <c r="U238" s="1">
        <v>1</v>
      </c>
      <c r="Y238" s="1">
        <f t="shared" si="68"/>
        <v>60</v>
      </c>
      <c r="Z238" s="1">
        <f t="shared" si="69"/>
        <v>6</v>
      </c>
      <c r="AA238" s="1">
        <f t="shared" si="62"/>
        <v>54</v>
      </c>
      <c r="AB238" s="1">
        <f t="shared" si="63"/>
        <v>54</v>
      </c>
      <c r="AC238" s="1">
        <f t="shared" si="64"/>
        <v>0</v>
      </c>
      <c r="AD238" s="1">
        <f t="shared" si="70"/>
        <v>39</v>
      </c>
      <c r="AE238" s="1">
        <f t="shared" si="65"/>
        <v>7</v>
      </c>
      <c r="AF238" s="1">
        <f t="shared" si="71"/>
        <v>22</v>
      </c>
      <c r="AG238" s="1">
        <f t="shared" si="72"/>
        <v>10</v>
      </c>
      <c r="AH238" s="1">
        <f t="shared" si="66"/>
        <v>38</v>
      </c>
      <c r="AI238" s="1">
        <f t="shared" si="73"/>
        <v>32</v>
      </c>
      <c r="AJ238" s="1" t="str">
        <f t="shared" si="74"/>
        <v>PAS DE DATE PAPIER</v>
      </c>
      <c r="AK238" s="1" t="str">
        <f t="shared" si="75"/>
        <v>PAS DE DATE CARTON</v>
      </c>
      <c r="AL238" s="1">
        <f t="shared" si="76"/>
        <v>11</v>
      </c>
      <c r="AM238" s="1">
        <f t="shared" si="77"/>
        <v>25</v>
      </c>
      <c r="AN238" s="1">
        <f t="shared" si="78"/>
        <v>7</v>
      </c>
      <c r="AO238" s="1">
        <f t="shared" si="81"/>
        <v>6</v>
      </c>
      <c r="AP238" s="1">
        <f t="shared" si="79"/>
        <v>1</v>
      </c>
      <c r="AQ238" s="1">
        <f t="shared" si="67"/>
        <v>15</v>
      </c>
      <c r="AR238" s="1">
        <f t="shared" si="80"/>
        <v>0</v>
      </c>
    </row>
    <row r="239" spans="1:44" x14ac:dyDescent="0.3">
      <c r="A239" s="1">
        <v>26047</v>
      </c>
      <c r="B239" s="1" t="s">
        <v>354</v>
      </c>
      <c r="C239" s="3" t="s">
        <v>355</v>
      </c>
      <c r="D239" s="4">
        <v>1700</v>
      </c>
      <c r="E239" s="24">
        <f>_xlfn.XLOOKUP(A239,[1]PONCEBLANC!$Q:$Q,[1]PONCEBLANC!$J:$J,100,0)</f>
        <v>8976</v>
      </c>
      <c r="F239" s="2" t="s">
        <v>128</v>
      </c>
      <c r="G239" s="2">
        <v>46070</v>
      </c>
      <c r="H239" s="2">
        <v>46076</v>
      </c>
      <c r="I239" s="2">
        <v>46087</v>
      </c>
      <c r="J239" s="2">
        <v>46142</v>
      </c>
      <c r="K239" s="2">
        <v>46140</v>
      </c>
      <c r="L239" s="2">
        <v>46141</v>
      </c>
      <c r="N239" s="2">
        <v>46099</v>
      </c>
      <c r="P239" s="2">
        <v>46169</v>
      </c>
      <c r="Q239" s="2">
        <v>46163</v>
      </c>
      <c r="R239" s="2">
        <v>46129</v>
      </c>
      <c r="S239" s="2">
        <v>46192</v>
      </c>
      <c r="T239" s="2">
        <v>46192</v>
      </c>
      <c r="U239" s="1">
        <v>1</v>
      </c>
      <c r="Y239" s="1">
        <f t="shared" si="68"/>
        <v>88</v>
      </c>
      <c r="Z239" s="1">
        <f t="shared" si="69"/>
        <v>4</v>
      </c>
      <c r="AA239" s="1">
        <f t="shared" si="62"/>
        <v>84</v>
      </c>
      <c r="AB239" s="1">
        <f t="shared" si="63"/>
        <v>84</v>
      </c>
      <c r="AC239" s="1">
        <f t="shared" si="64"/>
        <v>45</v>
      </c>
      <c r="AD239" s="1">
        <f t="shared" si="70"/>
        <v>67</v>
      </c>
      <c r="AE239" s="1">
        <f t="shared" si="65"/>
        <v>9</v>
      </c>
      <c r="AF239" s="1">
        <f t="shared" si="71"/>
        <v>39</v>
      </c>
      <c r="AG239" s="1">
        <f t="shared" si="72"/>
        <v>19</v>
      </c>
      <c r="AH239" s="1">
        <f t="shared" si="66"/>
        <v>63</v>
      </c>
      <c r="AI239" s="1">
        <f t="shared" si="73"/>
        <v>17</v>
      </c>
      <c r="AJ239" s="1" t="str">
        <f t="shared" si="74"/>
        <v>PAS DE DATE PAPIER</v>
      </c>
      <c r="AK239" s="1" t="str">
        <f t="shared" si="75"/>
        <v>PAS DE DATE CARTON</v>
      </c>
      <c r="AL239" s="1">
        <f t="shared" si="76"/>
        <v>46</v>
      </c>
      <c r="AM239" s="1">
        <f t="shared" si="77"/>
        <v>47</v>
      </c>
      <c r="AN239" s="1">
        <f t="shared" si="78"/>
        <v>-32</v>
      </c>
      <c r="AO239" s="1">
        <f t="shared" si="81"/>
        <v>46</v>
      </c>
      <c r="AP239" s="1">
        <f t="shared" si="79"/>
        <v>4</v>
      </c>
      <c r="AQ239" s="1">
        <f t="shared" si="67"/>
        <v>17</v>
      </c>
      <c r="AR239" s="1">
        <f t="shared" si="80"/>
        <v>0</v>
      </c>
    </row>
    <row r="240" spans="1:44" x14ac:dyDescent="0.3">
      <c r="A240" s="1">
        <v>26048</v>
      </c>
      <c r="E240" s="24">
        <f>_xlfn.XLOOKUP(A240,[1]PONCEBLANC!$Q:$Q,[1]PONCEBLANC!$J:$J,100,0)</f>
        <v>5142.5</v>
      </c>
      <c r="G240" s="2">
        <v>46058</v>
      </c>
      <c r="Y240" s="1" t="str">
        <f t="shared" si="68"/>
        <v>DATE MANQUANTE</v>
      </c>
      <c r="Z240" s="1" t="str">
        <f t="shared" si="69"/>
        <v>DATE MANQUANTE</v>
      </c>
      <c r="AA240" s="1" t="str">
        <f t="shared" si="62"/>
        <v>NON LIVRE</v>
      </c>
      <c r="AB240" s="1" t="str">
        <f t="shared" si="63"/>
        <v>NON LIVRE</v>
      </c>
      <c r="AC240" s="1" t="str">
        <f t="shared" si="64"/>
        <v>NON LIVRE</v>
      </c>
      <c r="AD240" s="1" t="str">
        <f t="shared" si="70"/>
        <v>NON LIVRE</v>
      </c>
      <c r="AE240" s="1" t="str">
        <f t="shared" si="65"/>
        <v>NON LIVRE</v>
      </c>
      <c r="AF240" s="1" t="str">
        <f t="shared" si="71"/>
        <v>NON LIVRE</v>
      </c>
      <c r="AG240" s="1" t="str">
        <f t="shared" si="72"/>
        <v>NON LIVRE</v>
      </c>
      <c r="AH240" s="1" t="str">
        <f t="shared" si="66"/>
        <v>NON LIVRE</v>
      </c>
      <c r="AI240" s="1" t="str">
        <f t="shared" si="73"/>
        <v>NON LIVRE</v>
      </c>
      <c r="AJ240" s="1" t="str">
        <f t="shared" si="74"/>
        <v>NON LIVRE</v>
      </c>
      <c r="AK240" s="1" t="str">
        <f t="shared" si="75"/>
        <v>NON LIVRE</v>
      </c>
      <c r="AL240" s="1" t="str">
        <f t="shared" si="76"/>
        <v>NON LIVRE</v>
      </c>
      <c r="AM240" s="1" t="str">
        <f t="shared" si="77"/>
        <v>NON LIVRE</v>
      </c>
      <c r="AN240" s="1" t="str">
        <f t="shared" si="78"/>
        <v>NON LIVRE</v>
      </c>
      <c r="AO240" s="1" t="str">
        <f t="shared" si="81"/>
        <v>NON LIVRE</v>
      </c>
      <c r="AP240" s="1" t="str">
        <f t="shared" si="79"/>
        <v>NON LIVRE</v>
      </c>
      <c r="AQ240" s="1" t="str">
        <f t="shared" si="67"/>
        <v>NON LIVRE</v>
      </c>
      <c r="AR240" s="1" t="str">
        <f t="shared" si="80"/>
        <v>NON LIVRE</v>
      </c>
    </row>
    <row r="241" spans="1:44" x14ac:dyDescent="0.3">
      <c r="A241" s="1">
        <v>26049</v>
      </c>
      <c r="B241" s="1" t="s">
        <v>17</v>
      </c>
      <c r="C241" s="3" t="s">
        <v>401</v>
      </c>
      <c r="D241" s="4">
        <v>2000</v>
      </c>
      <c r="E241" s="24">
        <f>_xlfn.XLOOKUP(A241,[1]PONCEBLANC!$Q:$Q,[1]PONCEBLANC!$J:$J,100,0)</f>
        <v>33380</v>
      </c>
      <c r="F241" s="2" t="s">
        <v>397</v>
      </c>
      <c r="G241" s="2">
        <v>46065</v>
      </c>
      <c r="H241" s="2">
        <v>46077</v>
      </c>
      <c r="I241" s="2">
        <v>46079</v>
      </c>
      <c r="J241" s="2">
        <v>46128</v>
      </c>
      <c r="K241" s="2">
        <v>46112</v>
      </c>
      <c r="L241" s="2" t="s">
        <v>315</v>
      </c>
      <c r="M241" s="2">
        <v>46132</v>
      </c>
      <c r="N241" s="2">
        <v>46140</v>
      </c>
      <c r="O241" s="2">
        <v>46094</v>
      </c>
      <c r="P241" s="2">
        <v>46136</v>
      </c>
      <c r="Q241" s="2">
        <v>46149</v>
      </c>
      <c r="R241" s="2">
        <v>46185</v>
      </c>
      <c r="S241" s="2">
        <v>46185</v>
      </c>
      <c r="T241" s="2">
        <v>46185</v>
      </c>
      <c r="U241" s="1">
        <v>1</v>
      </c>
      <c r="Y241" s="1">
        <f t="shared" si="68"/>
        <v>86</v>
      </c>
      <c r="Z241" s="1">
        <f t="shared" si="69"/>
        <v>8</v>
      </c>
      <c r="AA241" s="1">
        <f t="shared" si="62"/>
        <v>78</v>
      </c>
      <c r="AB241" s="1">
        <f t="shared" si="63"/>
        <v>78</v>
      </c>
      <c r="AC241" s="1">
        <f t="shared" si="64"/>
        <v>0</v>
      </c>
      <c r="AD241" s="1">
        <f t="shared" si="70"/>
        <v>43</v>
      </c>
      <c r="AE241" s="1">
        <f t="shared" si="65"/>
        <v>2</v>
      </c>
      <c r="AF241" s="1">
        <f t="shared" si="71"/>
        <v>35</v>
      </c>
      <c r="AG241" s="1">
        <f t="shared" si="72"/>
        <v>6</v>
      </c>
      <c r="AH241" s="1">
        <f t="shared" si="66"/>
        <v>52</v>
      </c>
      <c r="AI241" s="1">
        <f t="shared" si="73"/>
        <v>45</v>
      </c>
      <c r="AJ241" s="1">
        <f t="shared" si="74"/>
        <v>39</v>
      </c>
      <c r="AK241" s="1">
        <f t="shared" si="75"/>
        <v>13</v>
      </c>
      <c r="AL241" s="1">
        <f t="shared" si="76"/>
        <v>25</v>
      </c>
      <c r="AM241" s="1" t="str">
        <f t="shared" si="77"/>
        <v>ANC FAB</v>
      </c>
      <c r="AN241" s="1">
        <f t="shared" si="78"/>
        <v>20</v>
      </c>
      <c r="AO241" s="1">
        <f t="shared" si="81"/>
        <v>7</v>
      </c>
      <c r="AP241" s="1">
        <f t="shared" si="79"/>
        <v>9</v>
      </c>
      <c r="AQ241" s="1">
        <f t="shared" si="67"/>
        <v>26</v>
      </c>
      <c r="AR241" s="1">
        <f t="shared" si="80"/>
        <v>0</v>
      </c>
    </row>
    <row r="242" spans="1:44" x14ac:dyDescent="0.3">
      <c r="A242" s="1">
        <v>26050</v>
      </c>
      <c r="E242" s="24">
        <f>_xlfn.XLOOKUP(A242,[1]PONCEBLANC!$Q:$Q,[1]PONCEBLANC!$J:$J,100,0)</f>
        <v>5920</v>
      </c>
      <c r="G242" s="2">
        <v>46030</v>
      </c>
      <c r="Y242" s="1" t="str">
        <f t="shared" si="68"/>
        <v>DATE MANQUANTE</v>
      </c>
      <c r="Z242" s="1" t="str">
        <f t="shared" si="69"/>
        <v>DATE MANQUANTE</v>
      </c>
      <c r="AA242" s="1" t="str">
        <f t="shared" si="62"/>
        <v>NON LIVRE</v>
      </c>
      <c r="AB242" s="1" t="str">
        <f t="shared" si="63"/>
        <v>NON LIVRE</v>
      </c>
      <c r="AC242" s="1" t="str">
        <f t="shared" si="64"/>
        <v>NON LIVRE</v>
      </c>
      <c r="AD242" s="1" t="str">
        <f t="shared" si="70"/>
        <v>NON LIVRE</v>
      </c>
      <c r="AE242" s="1" t="str">
        <f t="shared" si="65"/>
        <v>NON LIVRE</v>
      </c>
      <c r="AF242" s="1" t="str">
        <f t="shared" si="71"/>
        <v>NON LIVRE</v>
      </c>
      <c r="AG242" s="1" t="str">
        <f t="shared" si="72"/>
        <v>NON LIVRE</v>
      </c>
      <c r="AH242" s="1" t="str">
        <f t="shared" si="66"/>
        <v>NON LIVRE</v>
      </c>
      <c r="AI242" s="1" t="str">
        <f t="shared" si="73"/>
        <v>NON LIVRE</v>
      </c>
      <c r="AJ242" s="1" t="str">
        <f t="shared" si="74"/>
        <v>NON LIVRE</v>
      </c>
      <c r="AK242" s="1" t="str">
        <f t="shared" si="75"/>
        <v>NON LIVRE</v>
      </c>
      <c r="AL242" s="1" t="str">
        <f t="shared" si="76"/>
        <v>NON LIVRE</v>
      </c>
      <c r="AM242" s="1" t="str">
        <f t="shared" si="77"/>
        <v>NON LIVRE</v>
      </c>
      <c r="AN242" s="1" t="str">
        <f t="shared" si="78"/>
        <v>NON LIVRE</v>
      </c>
      <c r="AO242" s="1" t="str">
        <f t="shared" si="81"/>
        <v>NON LIVRE</v>
      </c>
      <c r="AP242" s="1" t="str">
        <f t="shared" si="79"/>
        <v>NON LIVRE</v>
      </c>
      <c r="AQ242" s="1" t="str">
        <f t="shared" si="67"/>
        <v>NON LIVRE</v>
      </c>
      <c r="AR242" s="1" t="str">
        <f t="shared" si="80"/>
        <v>NON LIVRE</v>
      </c>
    </row>
    <row r="243" spans="1:44" x14ac:dyDescent="0.3">
      <c r="A243" s="1">
        <v>26051</v>
      </c>
      <c r="E243" s="24">
        <f>_xlfn.XLOOKUP(A243,[1]PONCEBLANC!$Q:$Q,[1]PONCEBLANC!$J:$J,100,0)</f>
        <v>23000</v>
      </c>
      <c r="G243" s="2">
        <v>46069</v>
      </c>
      <c r="Y243" s="1" t="str">
        <f t="shared" si="68"/>
        <v>DATE MANQUANTE</v>
      </c>
      <c r="Z243" s="1" t="str">
        <f t="shared" si="69"/>
        <v>DATE MANQUANTE</v>
      </c>
      <c r="AA243" s="1" t="str">
        <f t="shared" si="62"/>
        <v>NON LIVRE</v>
      </c>
      <c r="AB243" s="1" t="str">
        <f t="shared" si="63"/>
        <v>NON LIVRE</v>
      </c>
      <c r="AC243" s="1" t="str">
        <f t="shared" si="64"/>
        <v>NON LIVRE</v>
      </c>
      <c r="AD243" s="1" t="str">
        <f t="shared" si="70"/>
        <v>NON LIVRE</v>
      </c>
      <c r="AE243" s="1" t="str">
        <f t="shared" si="65"/>
        <v>NON LIVRE</v>
      </c>
      <c r="AF243" s="1" t="str">
        <f t="shared" si="71"/>
        <v>NON LIVRE</v>
      </c>
      <c r="AG243" s="1" t="str">
        <f t="shared" si="72"/>
        <v>NON LIVRE</v>
      </c>
      <c r="AH243" s="1" t="str">
        <f t="shared" si="66"/>
        <v>NON LIVRE</v>
      </c>
      <c r="AI243" s="1" t="str">
        <f t="shared" si="73"/>
        <v>NON LIVRE</v>
      </c>
      <c r="AJ243" s="1" t="str">
        <f t="shared" si="74"/>
        <v>NON LIVRE</v>
      </c>
      <c r="AK243" s="1" t="str">
        <f t="shared" si="75"/>
        <v>NON LIVRE</v>
      </c>
      <c r="AL243" s="1" t="str">
        <f t="shared" si="76"/>
        <v>NON LIVRE</v>
      </c>
      <c r="AM243" s="1" t="str">
        <f t="shared" si="77"/>
        <v>NON LIVRE</v>
      </c>
      <c r="AN243" s="1" t="str">
        <f t="shared" si="78"/>
        <v>NON LIVRE</v>
      </c>
      <c r="AO243" s="1" t="str">
        <f t="shared" si="81"/>
        <v>NON LIVRE</v>
      </c>
      <c r="AP243" s="1" t="str">
        <f t="shared" si="79"/>
        <v>NON LIVRE</v>
      </c>
      <c r="AQ243" s="1" t="str">
        <f t="shared" si="67"/>
        <v>NON LIVRE</v>
      </c>
      <c r="AR243" s="1" t="str">
        <f t="shared" si="80"/>
        <v>NON LIVRE</v>
      </c>
    </row>
    <row r="244" spans="1:44" x14ac:dyDescent="0.3">
      <c r="A244" s="1">
        <v>26052</v>
      </c>
      <c r="B244" s="1" t="s">
        <v>9</v>
      </c>
      <c r="C244" s="3" t="s">
        <v>402</v>
      </c>
      <c r="D244" s="4">
        <v>1500</v>
      </c>
      <c r="E244" s="24">
        <f>_xlfn.XLOOKUP(A244,[1]PONCEBLANC!$Q:$Q,[1]PONCEBLANC!$J:$J,100,0)</f>
        <v>29955</v>
      </c>
      <c r="F244" s="2" t="s">
        <v>397</v>
      </c>
      <c r="G244" s="2">
        <v>46071</v>
      </c>
      <c r="H244" s="2">
        <v>46079</v>
      </c>
      <c r="J244" s="2">
        <v>46121</v>
      </c>
      <c r="K244" s="2">
        <v>46111</v>
      </c>
      <c r="L244" s="2" t="s">
        <v>315</v>
      </c>
      <c r="M244" s="2">
        <v>46105</v>
      </c>
      <c r="N244" s="2">
        <v>46126</v>
      </c>
      <c r="O244" s="2">
        <v>46119</v>
      </c>
      <c r="P244" s="2">
        <v>46164</v>
      </c>
      <c r="Q244" s="2">
        <v>46163</v>
      </c>
      <c r="R244" s="2">
        <v>46157</v>
      </c>
      <c r="S244" s="2">
        <v>46147</v>
      </c>
      <c r="T244" s="2">
        <v>46178</v>
      </c>
      <c r="U244" s="1">
        <v>2</v>
      </c>
      <c r="Y244" s="1">
        <f t="shared" si="68"/>
        <v>77</v>
      </c>
      <c r="Z244" s="1">
        <f t="shared" si="69"/>
        <v>6</v>
      </c>
      <c r="AA244" s="1">
        <f t="shared" si="62"/>
        <v>71</v>
      </c>
      <c r="AB244" s="1">
        <f t="shared" si="63"/>
        <v>48</v>
      </c>
      <c r="AC244" s="1">
        <f t="shared" si="64"/>
        <v>-10</v>
      </c>
      <c r="AD244" s="1">
        <f t="shared" si="70"/>
        <v>61</v>
      </c>
      <c r="AE244" s="1" t="str">
        <f t="shared" si="65"/>
        <v>PAS DE COMMANDE MATIERE</v>
      </c>
      <c r="AF244" s="1">
        <f t="shared" si="71"/>
        <v>32943</v>
      </c>
      <c r="AG244" s="1">
        <f t="shared" si="72"/>
        <v>31</v>
      </c>
      <c r="AH244" s="1">
        <f t="shared" si="66"/>
        <v>60</v>
      </c>
      <c r="AI244" s="1">
        <f t="shared" si="73"/>
        <v>33</v>
      </c>
      <c r="AJ244" s="1">
        <f t="shared" si="74"/>
        <v>18</v>
      </c>
      <c r="AK244" s="1">
        <f t="shared" si="75"/>
        <v>28</v>
      </c>
      <c r="AL244" s="1">
        <f t="shared" si="76"/>
        <v>22</v>
      </c>
      <c r="AM244" s="1" t="str">
        <f t="shared" si="77"/>
        <v>ANC FAB</v>
      </c>
      <c r="AN244" s="1">
        <f t="shared" si="78"/>
        <v>11</v>
      </c>
      <c r="AO244" s="1">
        <f t="shared" si="81"/>
        <v>27</v>
      </c>
      <c r="AP244" s="1">
        <f t="shared" si="79"/>
        <v>1</v>
      </c>
      <c r="AQ244" s="1">
        <f t="shared" si="67"/>
        <v>-15</v>
      </c>
      <c r="AR244" s="1">
        <f t="shared" si="80"/>
        <v>23</v>
      </c>
    </row>
    <row r="245" spans="1:44" x14ac:dyDescent="0.3">
      <c r="A245" s="1">
        <v>26053</v>
      </c>
      <c r="B245" s="1" t="s">
        <v>60</v>
      </c>
      <c r="C245" s="3" t="s">
        <v>438</v>
      </c>
      <c r="D245" s="4">
        <v>800</v>
      </c>
      <c r="E245" s="24">
        <f>_xlfn.XLOOKUP(A245,[1]PONCEBLANC!$Q:$Q,[1]PONCEBLANC!$J:$J,100,0)</f>
        <v>14750</v>
      </c>
      <c r="F245" s="2" t="s">
        <v>397</v>
      </c>
      <c r="G245" s="2">
        <v>46070</v>
      </c>
      <c r="H245" s="2">
        <v>46079</v>
      </c>
      <c r="I245" s="2">
        <v>46133</v>
      </c>
      <c r="J245" s="2">
        <v>46139</v>
      </c>
      <c r="K245" s="2">
        <v>46146</v>
      </c>
      <c r="L245" s="2">
        <v>46162</v>
      </c>
      <c r="M245" s="2">
        <v>46153</v>
      </c>
      <c r="N245" s="2">
        <v>46170</v>
      </c>
      <c r="O245" s="2">
        <v>46155</v>
      </c>
      <c r="P245" s="2">
        <v>46199</v>
      </c>
      <c r="Q245" s="2">
        <v>46178</v>
      </c>
      <c r="R245" s="2">
        <v>46202</v>
      </c>
      <c r="S245" s="2">
        <v>46192</v>
      </c>
      <c r="T245" s="2">
        <v>46206</v>
      </c>
      <c r="U245" s="1">
        <v>2</v>
      </c>
      <c r="Y245" s="1">
        <f t="shared" si="68"/>
        <v>98</v>
      </c>
      <c r="Z245" s="1">
        <f t="shared" si="69"/>
        <v>7</v>
      </c>
      <c r="AA245" s="1">
        <f t="shared" si="62"/>
        <v>91</v>
      </c>
      <c r="AB245" s="1">
        <f t="shared" si="63"/>
        <v>81</v>
      </c>
      <c r="AC245" s="1">
        <f t="shared" si="64"/>
        <v>-8</v>
      </c>
      <c r="AD245" s="1">
        <f t="shared" si="70"/>
        <v>86</v>
      </c>
      <c r="AE245" s="1">
        <f t="shared" si="65"/>
        <v>38</v>
      </c>
      <c r="AF245" s="1">
        <f t="shared" si="71"/>
        <v>4</v>
      </c>
      <c r="AG245" s="1">
        <f t="shared" si="72"/>
        <v>44</v>
      </c>
      <c r="AH245" s="1">
        <f t="shared" si="66"/>
        <v>71</v>
      </c>
      <c r="AI245" s="1">
        <f t="shared" si="73"/>
        <v>65</v>
      </c>
      <c r="AJ245" s="1">
        <f t="shared" si="74"/>
        <v>52</v>
      </c>
      <c r="AK245" s="1">
        <f t="shared" si="75"/>
        <v>54</v>
      </c>
      <c r="AL245" s="1">
        <f t="shared" si="76"/>
        <v>47</v>
      </c>
      <c r="AM245" s="1">
        <f t="shared" si="77"/>
        <v>59</v>
      </c>
      <c r="AN245" s="1">
        <f t="shared" si="78"/>
        <v>6</v>
      </c>
      <c r="AO245" s="1">
        <f t="shared" si="81"/>
        <v>6</v>
      </c>
      <c r="AP245" s="1">
        <f t="shared" si="79"/>
        <v>15</v>
      </c>
      <c r="AQ245" s="1">
        <f t="shared" si="67"/>
        <v>-7</v>
      </c>
      <c r="AR245" s="1">
        <f t="shared" si="80"/>
        <v>10</v>
      </c>
    </row>
    <row r="246" spans="1:44" x14ac:dyDescent="0.3">
      <c r="A246" s="1">
        <v>26054</v>
      </c>
      <c r="E246" s="24">
        <f>_xlfn.XLOOKUP(A246,[1]PONCEBLANC!$Q:$Q,[1]PONCEBLANC!$J:$J,100,0)</f>
        <v>47000</v>
      </c>
      <c r="G246" s="2">
        <v>46066</v>
      </c>
      <c r="Y246" s="1" t="str">
        <f t="shared" si="68"/>
        <v>DATE MANQUANTE</v>
      </c>
      <c r="Z246" s="1" t="str">
        <f t="shared" si="69"/>
        <v>DATE MANQUANTE</v>
      </c>
      <c r="AA246" s="1" t="str">
        <f t="shared" si="62"/>
        <v>NON LIVRE</v>
      </c>
      <c r="AB246" s="1" t="str">
        <f t="shared" si="63"/>
        <v>NON LIVRE</v>
      </c>
      <c r="AC246" s="1" t="str">
        <f t="shared" si="64"/>
        <v>NON LIVRE</v>
      </c>
      <c r="AD246" s="1" t="str">
        <f t="shared" si="70"/>
        <v>NON LIVRE</v>
      </c>
      <c r="AE246" s="1" t="str">
        <f t="shared" si="65"/>
        <v>NON LIVRE</v>
      </c>
      <c r="AF246" s="1" t="str">
        <f t="shared" si="71"/>
        <v>NON LIVRE</v>
      </c>
      <c r="AG246" s="1" t="str">
        <f t="shared" si="72"/>
        <v>NON LIVRE</v>
      </c>
      <c r="AH246" s="1" t="str">
        <f t="shared" si="66"/>
        <v>NON LIVRE</v>
      </c>
      <c r="AI246" s="1" t="str">
        <f t="shared" si="73"/>
        <v>NON LIVRE</v>
      </c>
      <c r="AJ246" s="1" t="str">
        <f t="shared" si="74"/>
        <v>NON LIVRE</v>
      </c>
      <c r="AK246" s="1" t="str">
        <f t="shared" si="75"/>
        <v>NON LIVRE</v>
      </c>
      <c r="AL246" s="1" t="str">
        <f t="shared" si="76"/>
        <v>NON LIVRE</v>
      </c>
      <c r="AM246" s="1" t="str">
        <f t="shared" si="77"/>
        <v>NON LIVRE</v>
      </c>
      <c r="AN246" s="1" t="str">
        <f t="shared" si="78"/>
        <v>NON LIVRE</v>
      </c>
      <c r="AO246" s="1" t="str">
        <f t="shared" si="81"/>
        <v>NON LIVRE</v>
      </c>
      <c r="AP246" s="1" t="str">
        <f t="shared" si="79"/>
        <v>NON LIVRE</v>
      </c>
      <c r="AQ246" s="1" t="str">
        <f t="shared" si="67"/>
        <v>NON LIVRE</v>
      </c>
      <c r="AR246" s="1" t="str">
        <f t="shared" si="80"/>
        <v>NON LIVRE</v>
      </c>
    </row>
    <row r="247" spans="1:44" x14ac:dyDescent="0.3">
      <c r="A247" s="1">
        <v>26055</v>
      </c>
      <c r="E247" s="24">
        <f>_xlfn.XLOOKUP(A247,[1]PONCEBLANC!$Q:$Q,[1]PONCEBLANC!$J:$J,100,0)</f>
        <v>5937.2999999999993</v>
      </c>
      <c r="G247" s="2">
        <v>46041</v>
      </c>
      <c r="Y247" s="1" t="str">
        <f t="shared" si="68"/>
        <v>DATE MANQUANTE</v>
      </c>
      <c r="Z247" s="1" t="str">
        <f t="shared" si="69"/>
        <v>DATE MANQUANTE</v>
      </c>
      <c r="AA247" s="1" t="str">
        <f t="shared" si="62"/>
        <v>NON LIVRE</v>
      </c>
      <c r="AB247" s="1" t="str">
        <f t="shared" si="63"/>
        <v>NON LIVRE</v>
      </c>
      <c r="AC247" s="1" t="str">
        <f t="shared" si="64"/>
        <v>NON LIVRE</v>
      </c>
      <c r="AD247" s="1" t="str">
        <f t="shared" si="70"/>
        <v>NON LIVRE</v>
      </c>
      <c r="AE247" s="1" t="str">
        <f t="shared" si="65"/>
        <v>NON LIVRE</v>
      </c>
      <c r="AF247" s="1" t="str">
        <f t="shared" si="71"/>
        <v>NON LIVRE</v>
      </c>
      <c r="AG247" s="1" t="str">
        <f t="shared" si="72"/>
        <v>NON LIVRE</v>
      </c>
      <c r="AH247" s="1" t="str">
        <f t="shared" si="66"/>
        <v>NON LIVRE</v>
      </c>
      <c r="AI247" s="1" t="str">
        <f t="shared" si="73"/>
        <v>NON LIVRE</v>
      </c>
      <c r="AJ247" s="1" t="str">
        <f t="shared" si="74"/>
        <v>NON LIVRE</v>
      </c>
      <c r="AK247" s="1" t="str">
        <f t="shared" si="75"/>
        <v>NON LIVRE</v>
      </c>
      <c r="AL247" s="1" t="str">
        <f t="shared" si="76"/>
        <v>NON LIVRE</v>
      </c>
      <c r="AM247" s="1" t="str">
        <f t="shared" si="77"/>
        <v>NON LIVRE</v>
      </c>
      <c r="AN247" s="1" t="str">
        <f t="shared" si="78"/>
        <v>NON LIVRE</v>
      </c>
      <c r="AO247" s="1" t="str">
        <f t="shared" si="81"/>
        <v>NON LIVRE</v>
      </c>
      <c r="AP247" s="1" t="str">
        <f t="shared" si="79"/>
        <v>NON LIVRE</v>
      </c>
      <c r="AQ247" s="1" t="str">
        <f t="shared" si="67"/>
        <v>NON LIVRE</v>
      </c>
      <c r="AR247" s="1" t="str">
        <f t="shared" si="80"/>
        <v>NON LIVRE</v>
      </c>
    </row>
    <row r="248" spans="1:44" x14ac:dyDescent="0.3">
      <c r="A248" s="1">
        <v>26056</v>
      </c>
      <c r="E248" s="24">
        <f>_xlfn.XLOOKUP(A248,[1]PONCEBLANC!$Q:$Q,[1]PONCEBLANC!$J:$J,100,0)</f>
        <v>16170.000000000002</v>
      </c>
      <c r="G248" s="2">
        <v>46041</v>
      </c>
      <c r="Y248" s="1" t="str">
        <f t="shared" si="68"/>
        <v>DATE MANQUANTE</v>
      </c>
      <c r="Z248" s="1" t="str">
        <f t="shared" si="69"/>
        <v>DATE MANQUANTE</v>
      </c>
      <c r="AA248" s="1" t="str">
        <f t="shared" si="62"/>
        <v>NON LIVRE</v>
      </c>
      <c r="AB248" s="1" t="str">
        <f t="shared" si="63"/>
        <v>NON LIVRE</v>
      </c>
      <c r="AC248" s="1" t="str">
        <f t="shared" si="64"/>
        <v>NON LIVRE</v>
      </c>
      <c r="AD248" s="1" t="str">
        <f t="shared" si="70"/>
        <v>NON LIVRE</v>
      </c>
      <c r="AE248" s="1" t="str">
        <f t="shared" si="65"/>
        <v>NON LIVRE</v>
      </c>
      <c r="AF248" s="1" t="str">
        <f t="shared" si="71"/>
        <v>NON LIVRE</v>
      </c>
      <c r="AG248" s="1" t="str">
        <f t="shared" si="72"/>
        <v>NON LIVRE</v>
      </c>
      <c r="AH248" s="1" t="str">
        <f t="shared" si="66"/>
        <v>NON LIVRE</v>
      </c>
      <c r="AI248" s="1" t="str">
        <f t="shared" si="73"/>
        <v>NON LIVRE</v>
      </c>
      <c r="AJ248" s="1" t="str">
        <f t="shared" si="74"/>
        <v>NON LIVRE</v>
      </c>
      <c r="AK248" s="1" t="str">
        <f t="shared" si="75"/>
        <v>NON LIVRE</v>
      </c>
      <c r="AL248" s="1" t="str">
        <f t="shared" si="76"/>
        <v>NON LIVRE</v>
      </c>
      <c r="AM248" s="1" t="str">
        <f t="shared" si="77"/>
        <v>NON LIVRE</v>
      </c>
      <c r="AN248" s="1" t="str">
        <f t="shared" si="78"/>
        <v>NON LIVRE</v>
      </c>
      <c r="AO248" s="1" t="str">
        <f t="shared" si="81"/>
        <v>NON LIVRE</v>
      </c>
      <c r="AP248" s="1" t="str">
        <f t="shared" si="79"/>
        <v>NON LIVRE</v>
      </c>
      <c r="AQ248" s="1" t="str">
        <f t="shared" si="67"/>
        <v>NON LIVRE</v>
      </c>
      <c r="AR248" s="1" t="str">
        <f t="shared" si="80"/>
        <v>NON LIVRE</v>
      </c>
    </row>
    <row r="249" spans="1:44" x14ac:dyDescent="0.3">
      <c r="A249" s="1">
        <v>26057</v>
      </c>
      <c r="B249" s="1" t="s">
        <v>73</v>
      </c>
      <c r="C249" s="3" t="s">
        <v>356</v>
      </c>
      <c r="D249" s="4">
        <v>1200</v>
      </c>
      <c r="E249" s="24">
        <f>_xlfn.XLOOKUP(A249,[1]PONCEBLANC!$Q:$Q,[1]PONCEBLANC!$J:$J,100,0)</f>
        <v>100</v>
      </c>
      <c r="G249" s="2" t="s">
        <v>450</v>
      </c>
      <c r="H249" s="2">
        <v>46086</v>
      </c>
      <c r="I249" s="2">
        <v>46084</v>
      </c>
      <c r="J249" s="2">
        <v>46104</v>
      </c>
      <c r="N249" s="2">
        <v>46091</v>
      </c>
      <c r="P249" s="2">
        <v>46106</v>
      </c>
      <c r="Q249" s="2">
        <v>46108</v>
      </c>
      <c r="R249" s="2">
        <v>46142</v>
      </c>
      <c r="S249" s="2">
        <v>46126</v>
      </c>
      <c r="T249" s="2">
        <v>46126</v>
      </c>
      <c r="U249" s="1">
        <v>1</v>
      </c>
      <c r="Y249" s="1" t="str">
        <f t="shared" si="68"/>
        <v>DATE MANQUANTE</v>
      </c>
      <c r="Z249" s="1" t="str">
        <f t="shared" si="69"/>
        <v>DATE MANQUANTE</v>
      </c>
      <c r="AA249" s="1">
        <f t="shared" si="62"/>
        <v>28</v>
      </c>
      <c r="AB249" s="1">
        <f t="shared" si="63"/>
        <v>28</v>
      </c>
      <c r="AC249" s="1">
        <f t="shared" si="64"/>
        <v>-14</v>
      </c>
      <c r="AD249" s="1">
        <f t="shared" si="70"/>
        <v>14</v>
      </c>
      <c r="AE249" s="1">
        <f t="shared" si="65"/>
        <v>-4</v>
      </c>
      <c r="AF249" s="1">
        <f t="shared" si="71"/>
        <v>14</v>
      </c>
      <c r="AG249" s="1">
        <f t="shared" si="72"/>
        <v>2</v>
      </c>
      <c r="AH249" s="1">
        <f t="shared" si="66"/>
        <v>16</v>
      </c>
      <c r="AI249" s="1">
        <f t="shared" si="73"/>
        <v>3</v>
      </c>
      <c r="AJ249" s="1" t="str">
        <f t="shared" si="74"/>
        <v>PAS DE DATE PAPIER</v>
      </c>
      <c r="AK249" s="1" t="str">
        <f t="shared" si="75"/>
        <v>PAS DE DATE CARTON</v>
      </c>
      <c r="AL249" s="1" t="str">
        <f t="shared" si="76"/>
        <v>PAS DE DATE FICHIER</v>
      </c>
      <c r="AM249" s="1" t="str">
        <f t="shared" si="77"/>
        <v>PAS DE DATE VALIDATION MODELE CLIENT</v>
      </c>
      <c r="AN249" s="1">
        <f t="shared" si="78"/>
        <v>32921</v>
      </c>
      <c r="AO249" s="1">
        <f t="shared" si="81"/>
        <v>13</v>
      </c>
      <c r="AP249" s="1">
        <f t="shared" si="79"/>
        <v>2</v>
      </c>
      <c r="AQ249" s="1">
        <f t="shared" si="67"/>
        <v>12</v>
      </c>
      <c r="AR249" s="1">
        <f t="shared" si="80"/>
        <v>0</v>
      </c>
    </row>
    <row r="250" spans="1:44" x14ac:dyDescent="0.3">
      <c r="A250" s="1">
        <v>26058</v>
      </c>
      <c r="E250" s="24">
        <f>_xlfn.XLOOKUP(A250,[1]PONCEBLANC!$Q:$Q,[1]PONCEBLANC!$J:$J,100,0)</f>
        <v>10000</v>
      </c>
      <c r="G250" s="2">
        <v>46079</v>
      </c>
      <c r="Y250" s="1" t="str">
        <f t="shared" si="68"/>
        <v>DATE MANQUANTE</v>
      </c>
      <c r="Z250" s="1" t="str">
        <f t="shared" si="69"/>
        <v>DATE MANQUANTE</v>
      </c>
      <c r="AA250" s="1" t="str">
        <f t="shared" si="62"/>
        <v>NON LIVRE</v>
      </c>
      <c r="AB250" s="1" t="str">
        <f t="shared" si="63"/>
        <v>NON LIVRE</v>
      </c>
      <c r="AC250" s="1" t="str">
        <f t="shared" si="64"/>
        <v>NON LIVRE</v>
      </c>
      <c r="AD250" s="1" t="str">
        <f t="shared" si="70"/>
        <v>NON LIVRE</v>
      </c>
      <c r="AE250" s="1" t="str">
        <f t="shared" si="65"/>
        <v>NON LIVRE</v>
      </c>
      <c r="AF250" s="1" t="str">
        <f t="shared" si="71"/>
        <v>NON LIVRE</v>
      </c>
      <c r="AG250" s="1" t="str">
        <f t="shared" si="72"/>
        <v>NON LIVRE</v>
      </c>
      <c r="AH250" s="1" t="str">
        <f t="shared" si="66"/>
        <v>NON LIVRE</v>
      </c>
      <c r="AI250" s="1" t="str">
        <f t="shared" si="73"/>
        <v>NON LIVRE</v>
      </c>
      <c r="AJ250" s="1" t="str">
        <f t="shared" si="74"/>
        <v>NON LIVRE</v>
      </c>
      <c r="AK250" s="1" t="str">
        <f t="shared" si="75"/>
        <v>NON LIVRE</v>
      </c>
      <c r="AL250" s="1" t="str">
        <f t="shared" si="76"/>
        <v>NON LIVRE</v>
      </c>
      <c r="AM250" s="1" t="str">
        <f t="shared" si="77"/>
        <v>NON LIVRE</v>
      </c>
      <c r="AN250" s="1" t="str">
        <f t="shared" si="78"/>
        <v>NON LIVRE</v>
      </c>
      <c r="AO250" s="1" t="str">
        <f t="shared" si="81"/>
        <v>NON LIVRE</v>
      </c>
      <c r="AP250" s="1" t="str">
        <f t="shared" si="79"/>
        <v>NON LIVRE</v>
      </c>
      <c r="AQ250" s="1" t="str">
        <f t="shared" si="67"/>
        <v>NON LIVRE</v>
      </c>
      <c r="AR250" s="1" t="str">
        <f t="shared" si="80"/>
        <v>NON LIVRE</v>
      </c>
    </row>
    <row r="251" spans="1:44" x14ac:dyDescent="0.3">
      <c r="A251" s="1">
        <v>26059</v>
      </c>
      <c r="E251" s="24">
        <f>_xlfn.XLOOKUP(A251,[1]PONCEBLANC!$Q:$Q,[1]PONCEBLANC!$J:$J,100,0)</f>
        <v>87350</v>
      </c>
      <c r="G251" s="2">
        <v>46048</v>
      </c>
      <c r="Y251" s="1" t="str">
        <f t="shared" si="68"/>
        <v>DATE MANQUANTE</v>
      </c>
      <c r="Z251" s="1" t="str">
        <f t="shared" si="69"/>
        <v>DATE MANQUANTE</v>
      </c>
      <c r="AA251" s="1" t="str">
        <f t="shared" si="62"/>
        <v>NON LIVRE</v>
      </c>
      <c r="AB251" s="1" t="str">
        <f t="shared" si="63"/>
        <v>NON LIVRE</v>
      </c>
      <c r="AC251" s="1" t="str">
        <f t="shared" si="64"/>
        <v>NON LIVRE</v>
      </c>
      <c r="AD251" s="1" t="str">
        <f t="shared" si="70"/>
        <v>NON LIVRE</v>
      </c>
      <c r="AE251" s="1" t="str">
        <f t="shared" si="65"/>
        <v>NON LIVRE</v>
      </c>
      <c r="AF251" s="1" t="str">
        <f t="shared" si="71"/>
        <v>NON LIVRE</v>
      </c>
      <c r="AG251" s="1" t="str">
        <f t="shared" si="72"/>
        <v>NON LIVRE</v>
      </c>
      <c r="AH251" s="1" t="str">
        <f t="shared" si="66"/>
        <v>NON LIVRE</v>
      </c>
      <c r="AI251" s="1" t="str">
        <f t="shared" si="73"/>
        <v>NON LIVRE</v>
      </c>
      <c r="AJ251" s="1" t="str">
        <f t="shared" si="74"/>
        <v>NON LIVRE</v>
      </c>
      <c r="AK251" s="1" t="str">
        <f t="shared" si="75"/>
        <v>NON LIVRE</v>
      </c>
      <c r="AL251" s="1" t="str">
        <f t="shared" si="76"/>
        <v>NON LIVRE</v>
      </c>
      <c r="AM251" s="1" t="str">
        <f t="shared" si="77"/>
        <v>NON LIVRE</v>
      </c>
      <c r="AN251" s="1" t="str">
        <f t="shared" si="78"/>
        <v>NON LIVRE</v>
      </c>
      <c r="AO251" s="1" t="str">
        <f t="shared" si="81"/>
        <v>NON LIVRE</v>
      </c>
      <c r="AP251" s="1" t="str">
        <f t="shared" si="79"/>
        <v>NON LIVRE</v>
      </c>
      <c r="AQ251" s="1" t="str">
        <f t="shared" si="67"/>
        <v>NON LIVRE</v>
      </c>
      <c r="AR251" s="1" t="str">
        <f t="shared" si="80"/>
        <v>NON LIVRE</v>
      </c>
    </row>
    <row r="252" spans="1:44" x14ac:dyDescent="0.3">
      <c r="A252" s="1">
        <v>26060</v>
      </c>
      <c r="B252" s="1" t="s">
        <v>17</v>
      </c>
      <c r="C252" s="3" t="s">
        <v>344</v>
      </c>
      <c r="D252" s="4">
        <v>4000</v>
      </c>
      <c r="E252" s="24">
        <f>_xlfn.XLOOKUP(A252,[1]PONCEBLANC!$Q:$Q,[1]PONCEBLANC!$J:$J,100,0)</f>
        <v>58600</v>
      </c>
      <c r="G252" s="2">
        <v>46080</v>
      </c>
      <c r="H252" s="2">
        <v>46092</v>
      </c>
      <c r="J252" s="2">
        <v>46108</v>
      </c>
      <c r="K252" s="2">
        <v>46114</v>
      </c>
      <c r="M252" s="2">
        <v>46132</v>
      </c>
      <c r="N252" s="2">
        <v>46135</v>
      </c>
      <c r="O252" s="2">
        <v>46119</v>
      </c>
      <c r="P252" s="2">
        <v>46136</v>
      </c>
      <c r="Q252" s="2">
        <v>46135</v>
      </c>
      <c r="R252" s="2">
        <v>46164</v>
      </c>
      <c r="S252" s="2">
        <v>46164</v>
      </c>
      <c r="T252" s="2">
        <v>46164</v>
      </c>
      <c r="U252" s="1">
        <v>1</v>
      </c>
      <c r="Y252" s="1">
        <f t="shared" si="68"/>
        <v>60</v>
      </c>
      <c r="Z252" s="1">
        <f t="shared" si="69"/>
        <v>8</v>
      </c>
      <c r="AA252" s="1">
        <f t="shared" si="62"/>
        <v>52</v>
      </c>
      <c r="AB252" s="1">
        <f t="shared" si="63"/>
        <v>52</v>
      </c>
      <c r="AC252" s="1">
        <f t="shared" si="64"/>
        <v>0</v>
      </c>
      <c r="AD252" s="1">
        <f t="shared" si="70"/>
        <v>32</v>
      </c>
      <c r="AE252" s="1" t="str">
        <f t="shared" si="65"/>
        <v>PAS DE COMMANDE MATIERE</v>
      </c>
      <c r="AF252" s="1">
        <f t="shared" si="71"/>
        <v>32934</v>
      </c>
      <c r="AG252" s="1">
        <f t="shared" si="72"/>
        <v>20</v>
      </c>
      <c r="AH252" s="1">
        <f t="shared" si="66"/>
        <v>31</v>
      </c>
      <c r="AI252" s="1">
        <f t="shared" si="73"/>
        <v>31</v>
      </c>
      <c r="AJ252" s="1">
        <f t="shared" si="74"/>
        <v>28</v>
      </c>
      <c r="AK252" s="1">
        <f t="shared" si="75"/>
        <v>19</v>
      </c>
      <c r="AL252" s="1">
        <f t="shared" si="76"/>
        <v>16</v>
      </c>
      <c r="AM252" s="1" t="str">
        <f t="shared" si="77"/>
        <v>PAS DE DATE VALIDATION MODELE CLIENT</v>
      </c>
      <c r="AN252" s="1">
        <f t="shared" si="78"/>
        <v>15</v>
      </c>
      <c r="AO252" s="1">
        <f t="shared" si="81"/>
        <v>0</v>
      </c>
      <c r="AP252" s="1">
        <f t="shared" si="79"/>
        <v>1</v>
      </c>
      <c r="AQ252" s="1">
        <f t="shared" si="67"/>
        <v>20</v>
      </c>
      <c r="AR252" s="1">
        <f t="shared" si="80"/>
        <v>0</v>
      </c>
    </row>
    <row r="253" spans="1:44" x14ac:dyDescent="0.3">
      <c r="A253" s="1">
        <v>26061</v>
      </c>
      <c r="B253" s="1" t="s">
        <v>264</v>
      </c>
      <c r="C253" s="3" t="s">
        <v>357</v>
      </c>
      <c r="D253" s="4">
        <v>3300</v>
      </c>
      <c r="E253" s="24">
        <f>_xlfn.XLOOKUP(A253,[1]PONCEBLANC!$Q:$Q,[1]PONCEBLANC!$J:$J,100,0)</f>
        <v>100</v>
      </c>
      <c r="G253" s="2" t="s">
        <v>450</v>
      </c>
      <c r="H253" s="2">
        <v>46097</v>
      </c>
      <c r="J253" s="2">
        <v>46107</v>
      </c>
      <c r="P253" s="2">
        <v>46108</v>
      </c>
      <c r="R253" s="2">
        <v>46129</v>
      </c>
      <c r="S253" s="2">
        <v>46119</v>
      </c>
      <c r="T253" s="2">
        <v>46119</v>
      </c>
      <c r="U253" s="1">
        <v>1</v>
      </c>
      <c r="Y253" s="1" t="str">
        <f t="shared" si="68"/>
        <v>DATE MANQUANTE</v>
      </c>
      <c r="Z253" s="1" t="str">
        <f t="shared" si="69"/>
        <v>DATE MANQUANTE</v>
      </c>
      <c r="AA253" s="1">
        <f t="shared" si="62"/>
        <v>16</v>
      </c>
      <c r="AB253" s="1">
        <f t="shared" si="63"/>
        <v>16</v>
      </c>
      <c r="AC253" s="1">
        <f t="shared" si="64"/>
        <v>-10</v>
      </c>
      <c r="AD253" s="1">
        <f t="shared" si="70"/>
        <v>9</v>
      </c>
      <c r="AE253" s="1" t="str">
        <f t="shared" si="65"/>
        <v>PAS DE COMMANDE MATIERE</v>
      </c>
      <c r="AF253" s="1">
        <f t="shared" si="71"/>
        <v>32933</v>
      </c>
      <c r="AG253" s="1">
        <f t="shared" si="72"/>
        <v>1</v>
      </c>
      <c r="AH253" s="1" t="str">
        <f t="shared" si="66"/>
        <v>PAS DE DEPART TIRAGES OU ACHATS</v>
      </c>
      <c r="AI253" s="1" t="str">
        <f t="shared" si="73"/>
        <v>PAS DE DATE IMPRESSION</v>
      </c>
      <c r="AJ253" s="1" t="str">
        <f t="shared" si="74"/>
        <v>PAS DE DATE PAPIER</v>
      </c>
      <c r="AK253" s="1" t="str">
        <f t="shared" si="75"/>
        <v>PAS DE DATE CARTON</v>
      </c>
      <c r="AL253" s="1" t="str">
        <f t="shared" si="76"/>
        <v>PAS DE DATE FICHIER</v>
      </c>
      <c r="AM253" s="1" t="str">
        <f t="shared" si="77"/>
        <v>PAS DE DATE VALIDATION MODELE CLIENT</v>
      </c>
      <c r="AN253" s="1" t="str">
        <f t="shared" si="78"/>
        <v>PAS DE DATE IMPRESSION</v>
      </c>
      <c r="AO253" s="1" t="str">
        <f t="shared" si="81"/>
        <v>PAS D'IMPRESSION</v>
      </c>
      <c r="AP253" s="1">
        <f t="shared" si="79"/>
        <v>0</v>
      </c>
      <c r="AQ253" s="1">
        <f t="shared" si="67"/>
        <v>7</v>
      </c>
      <c r="AR253" s="1" t="str">
        <f t="shared" si="80"/>
        <v>PAS DE DATE VALIDATION MODELE CLIENT</v>
      </c>
    </row>
    <row r="254" spans="1:44" x14ac:dyDescent="0.3">
      <c r="A254" s="1">
        <v>26062</v>
      </c>
      <c r="E254" s="24">
        <f>_xlfn.XLOOKUP(A254,[1]PONCEBLANC!$Q:$Q,[1]PONCEBLANC!$J:$J,100,0)</f>
        <v>33875</v>
      </c>
      <c r="G254" s="2">
        <v>46057</v>
      </c>
      <c r="Y254" s="1" t="str">
        <f t="shared" si="68"/>
        <v>DATE MANQUANTE</v>
      </c>
      <c r="Z254" s="1" t="str">
        <f t="shared" si="69"/>
        <v>DATE MANQUANTE</v>
      </c>
      <c r="AA254" s="1" t="str">
        <f t="shared" si="62"/>
        <v>NON LIVRE</v>
      </c>
      <c r="AB254" s="1" t="str">
        <f t="shared" si="63"/>
        <v>NON LIVRE</v>
      </c>
      <c r="AC254" s="1" t="str">
        <f t="shared" si="64"/>
        <v>NON LIVRE</v>
      </c>
      <c r="AD254" s="1" t="str">
        <f t="shared" si="70"/>
        <v>NON LIVRE</v>
      </c>
      <c r="AE254" s="1" t="str">
        <f t="shared" si="65"/>
        <v>NON LIVRE</v>
      </c>
      <c r="AF254" s="1" t="str">
        <f t="shared" si="71"/>
        <v>NON LIVRE</v>
      </c>
      <c r="AG254" s="1" t="str">
        <f t="shared" si="72"/>
        <v>NON LIVRE</v>
      </c>
      <c r="AH254" s="1" t="str">
        <f t="shared" si="66"/>
        <v>NON LIVRE</v>
      </c>
      <c r="AI254" s="1" t="str">
        <f t="shared" si="73"/>
        <v>NON LIVRE</v>
      </c>
      <c r="AJ254" s="1" t="str">
        <f t="shared" si="74"/>
        <v>NON LIVRE</v>
      </c>
      <c r="AK254" s="1" t="str">
        <f t="shared" si="75"/>
        <v>NON LIVRE</v>
      </c>
      <c r="AL254" s="1" t="str">
        <f t="shared" si="76"/>
        <v>NON LIVRE</v>
      </c>
      <c r="AM254" s="1" t="str">
        <f t="shared" si="77"/>
        <v>NON LIVRE</v>
      </c>
      <c r="AN254" s="1" t="str">
        <f t="shared" si="78"/>
        <v>NON LIVRE</v>
      </c>
      <c r="AO254" s="1" t="str">
        <f t="shared" si="81"/>
        <v>NON LIVRE</v>
      </c>
      <c r="AP254" s="1" t="str">
        <f t="shared" si="79"/>
        <v>NON LIVRE</v>
      </c>
      <c r="AQ254" s="1" t="str">
        <f t="shared" si="67"/>
        <v>NON LIVRE</v>
      </c>
      <c r="AR254" s="1" t="str">
        <f t="shared" si="80"/>
        <v>NON LIVRE</v>
      </c>
    </row>
    <row r="255" spans="1:44" x14ac:dyDescent="0.3">
      <c r="A255" s="1">
        <v>26063</v>
      </c>
      <c r="B255" s="1" t="s">
        <v>414</v>
      </c>
      <c r="C255" s="3" t="s">
        <v>415</v>
      </c>
      <c r="D255" s="4">
        <v>500</v>
      </c>
      <c r="E255" s="24">
        <f>_xlfn.XLOOKUP(A255,[1]PONCEBLANC!$Q:$Q,[1]PONCEBLANC!$J:$J,100,0)</f>
        <v>3920</v>
      </c>
      <c r="F255" s="2" t="s">
        <v>179</v>
      </c>
      <c r="G255" s="2">
        <v>45720</v>
      </c>
      <c r="H255" s="2">
        <v>46104</v>
      </c>
      <c r="K255" s="2">
        <v>46147</v>
      </c>
      <c r="L255" s="2">
        <v>46155</v>
      </c>
      <c r="N255" s="2">
        <v>46169</v>
      </c>
      <c r="Q255" s="2">
        <v>46170</v>
      </c>
      <c r="R255" s="2">
        <v>46192</v>
      </c>
      <c r="S255" s="2">
        <v>46192</v>
      </c>
      <c r="T255" s="2">
        <v>46192</v>
      </c>
      <c r="U255" s="1">
        <v>1</v>
      </c>
      <c r="Y255" s="1">
        <f t="shared" si="68"/>
        <v>338</v>
      </c>
      <c r="Z255" s="1">
        <f t="shared" si="69"/>
        <v>274</v>
      </c>
      <c r="AA255" s="1">
        <f t="shared" si="62"/>
        <v>64</v>
      </c>
      <c r="AB255" s="1">
        <f t="shared" si="63"/>
        <v>64</v>
      </c>
      <c r="AC255" s="1">
        <f t="shared" si="64"/>
        <v>0</v>
      </c>
      <c r="AD255" s="1" t="str">
        <f t="shared" si="70"/>
        <v>PAS DE DEPART MATIERE</v>
      </c>
      <c r="AE255" s="1" t="str">
        <f t="shared" si="65"/>
        <v>PAS DE COMMANDE MATIERE</v>
      </c>
      <c r="AF255" s="1" t="str">
        <f t="shared" si="71"/>
        <v>PAS DE COMMANDE MATIERE</v>
      </c>
      <c r="AG255" s="1" t="str">
        <f t="shared" si="72"/>
        <v>PAS DE COMMANDE MATIERE</v>
      </c>
      <c r="AH255" s="1">
        <f t="shared" si="66"/>
        <v>48</v>
      </c>
      <c r="AI255" s="1">
        <f t="shared" si="73"/>
        <v>47</v>
      </c>
      <c r="AJ255" s="1" t="str">
        <f t="shared" si="74"/>
        <v>PAS DE DATE PAPIER</v>
      </c>
      <c r="AK255" s="1" t="str">
        <f t="shared" si="75"/>
        <v>PAS DE DATE CARTON</v>
      </c>
      <c r="AL255" s="1">
        <f t="shared" si="76"/>
        <v>31</v>
      </c>
      <c r="AM255" s="1">
        <f t="shared" si="77"/>
        <v>37</v>
      </c>
      <c r="AN255" s="1">
        <f t="shared" si="78"/>
        <v>10</v>
      </c>
      <c r="AO255" s="1">
        <f t="shared" si="81"/>
        <v>1</v>
      </c>
      <c r="AP255" s="1">
        <f t="shared" si="79"/>
        <v>0</v>
      </c>
      <c r="AQ255" s="1">
        <f t="shared" si="67"/>
        <v>16</v>
      </c>
      <c r="AR255" s="1" t="str">
        <f t="shared" ref="AR255:AR258" si="82">IFERROR(IF($T255="","NON LIVRE",IF($P255="","PAS D'IMPRESSION",IF($Q255="","PAS DE DATE VALIDATION MODELE CLIENT",NETWORKDAYS($S255,T255)-1))),$Q255)</f>
        <v>PAS D'IMPRESSION</v>
      </c>
    </row>
    <row r="256" spans="1:44" x14ac:dyDescent="0.3">
      <c r="A256" s="1">
        <v>26064</v>
      </c>
      <c r="B256" s="1" t="s">
        <v>105</v>
      </c>
      <c r="C256" s="3" t="s">
        <v>106</v>
      </c>
      <c r="D256" s="4">
        <v>500</v>
      </c>
      <c r="E256" s="24">
        <f>_xlfn.XLOOKUP(A256,[1]PONCEBLANC!$Q:$Q,[1]PONCEBLANC!$J:$J,100,0)</f>
        <v>4825</v>
      </c>
      <c r="F256" s="2" t="s">
        <v>397</v>
      </c>
      <c r="G256" s="2">
        <v>46092</v>
      </c>
      <c r="H256" s="2">
        <v>46104</v>
      </c>
      <c r="J256" s="2">
        <v>46155</v>
      </c>
      <c r="K256" s="2">
        <v>46105</v>
      </c>
      <c r="L256" s="2">
        <v>46126</v>
      </c>
      <c r="N256" s="2">
        <v>46146</v>
      </c>
      <c r="O256" s="2">
        <v>46125</v>
      </c>
      <c r="P256" s="2">
        <v>46178</v>
      </c>
      <c r="Q256" s="2">
        <v>46148</v>
      </c>
      <c r="R256" s="2">
        <v>46185</v>
      </c>
      <c r="S256" s="2">
        <v>46185</v>
      </c>
      <c r="T256" s="2">
        <v>46185</v>
      </c>
      <c r="U256" s="1">
        <v>1</v>
      </c>
      <c r="Y256" s="1">
        <f t="shared" si="68"/>
        <v>67</v>
      </c>
      <c r="Z256" s="1">
        <f t="shared" si="69"/>
        <v>8</v>
      </c>
      <c r="AA256" s="1" t="e">
        <f>IF($T256="","NON LIVRE",NETWORKDAYS(#REF!,$T256)-1)</f>
        <v>#REF!</v>
      </c>
      <c r="AB256" s="1" t="e">
        <f>IF($S256="","NON LIVRE",NETWORKDAYS(#REF!,$S256)-1)</f>
        <v>#REF!</v>
      </c>
      <c r="AC256" s="1">
        <f t="shared" ref="AC256:AC258" si="83">IF($S256="","NON LIVRE",NETWORKDAYS($R256,$S256)-1)</f>
        <v>0</v>
      </c>
      <c r="AD256" s="1">
        <f>IFERROR(IF($T256="","NON LIVRE",IF($P256="","PAS DE DEPART MATIERE",NETWORKDAYS(#REF!,$P256)-1)),$P256)</f>
        <v>46178</v>
      </c>
      <c r="AE256" s="1" t="str">
        <f>IFERROR(IF($T256="","NON LIVRE",IF($I256="","PAS DE COMMANDE MATIERE",NETWORKDAYS(#REF!,$I256)-1)),$I256)</f>
        <v>PAS DE COMMANDE MATIERE</v>
      </c>
      <c r="AF256" s="1">
        <f t="shared" si="71"/>
        <v>32967</v>
      </c>
      <c r="AG256" s="1">
        <f t="shared" si="72"/>
        <v>17</v>
      </c>
      <c r="AH256" s="1">
        <f>IFERROR(IF($T256="","NON LIVRE",IF($Q256="","PAS DE DEPART TIRAGES OU ACHATS",NETWORKDAYS(#REF!,$Q256)-1)),$Q256)</f>
        <v>46148</v>
      </c>
      <c r="AI256" s="1">
        <f>IFERROR(IF($T256="","NON LIVRE",IF($N256="","PAS DE DATE IMPRESSION",NETWORKDAYS(#REF!,$N256)-1)),$N256)</f>
        <v>46146</v>
      </c>
      <c r="AJ256" s="1" t="str">
        <f>IFERROR(IF($T256="","NON LIVRE",IF($M256="","PAS DE DATE PAPIER",NETWORKDAYS(#REF!,$M256)-1)),$M256)</f>
        <v>PAS DE DATE PAPIER</v>
      </c>
      <c r="AK256" s="1">
        <f>IFERROR(IF($T256="","NON LIVRE",IF($O256="","PAS DE DATE CARTON",NETWORKDAYS(#REF!,$O256)-1)),$O256)</f>
        <v>46125</v>
      </c>
      <c r="AL256" s="1">
        <f>IFERROR(IF($T256="","NON LIVRE",IF($K256="","PAS DE DATE FICHIER",NETWORKDAYS(#REF!,$K256)-1)),$K256)</f>
        <v>46105</v>
      </c>
      <c r="AM256" s="1">
        <f>IFERROR(IF($T256="","NON LIVRE",IF($L256="","PAS DE DATE VALIDATION MODELE CLIENT",NETWORKDAYS(#REF!,$L256)-1)),$L256)</f>
        <v>46126</v>
      </c>
      <c r="AN256" s="1">
        <f t="shared" si="78"/>
        <v>14</v>
      </c>
      <c r="AO256" s="1">
        <f t="shared" si="81"/>
        <v>2</v>
      </c>
      <c r="AP256" s="1">
        <f t="shared" si="79"/>
        <v>22</v>
      </c>
      <c r="AQ256" s="1">
        <f t="shared" si="67"/>
        <v>5</v>
      </c>
      <c r="AR256" s="1">
        <f t="shared" si="82"/>
        <v>0</v>
      </c>
    </row>
    <row r="257" spans="1:44" x14ac:dyDescent="0.3">
      <c r="A257" s="1">
        <v>26065</v>
      </c>
      <c r="B257" s="1" t="s">
        <v>105</v>
      </c>
      <c r="C257" s="3" t="s">
        <v>403</v>
      </c>
      <c r="D257" s="4">
        <v>600</v>
      </c>
      <c r="E257" s="24">
        <f>_xlfn.XLOOKUP(A257,[1]PONCEBLANC!$Q:$Q,[1]PONCEBLANC!$J:$J,100,0)</f>
        <v>13332</v>
      </c>
      <c r="F257" s="2" t="s">
        <v>397</v>
      </c>
      <c r="G257" s="2">
        <v>46094</v>
      </c>
      <c r="H257" s="2">
        <v>46104</v>
      </c>
      <c r="I257" s="2">
        <v>46104</v>
      </c>
      <c r="J257" s="2">
        <v>46135</v>
      </c>
      <c r="K257" s="2">
        <v>46105</v>
      </c>
      <c r="L257" s="2">
        <v>46126</v>
      </c>
      <c r="N257" s="2">
        <v>46139</v>
      </c>
      <c r="O257" s="2">
        <v>46121</v>
      </c>
      <c r="P257" s="2">
        <v>46155</v>
      </c>
      <c r="Q257" s="2">
        <v>46148</v>
      </c>
      <c r="R257" s="2">
        <v>46185</v>
      </c>
      <c r="S257" s="2">
        <v>46185</v>
      </c>
      <c r="T257" s="2">
        <v>46185</v>
      </c>
      <c r="U257" s="1">
        <v>1</v>
      </c>
      <c r="Y257" s="1">
        <f t="shared" si="68"/>
        <v>65</v>
      </c>
      <c r="Z257" s="1">
        <f t="shared" si="69"/>
        <v>6</v>
      </c>
      <c r="AA257" s="1">
        <f t="shared" ref="AA257:AA258" si="84">IF($T257="","NON LIVRE",NETWORKDAYS($H257,$T257)-1)</f>
        <v>59</v>
      </c>
      <c r="AB257" s="1">
        <f t="shared" ref="AB257:AB258" si="85">IF($S257="","NON LIVRE",NETWORKDAYS($H257,$S257)-1)</f>
        <v>59</v>
      </c>
      <c r="AC257" s="1">
        <f t="shared" si="83"/>
        <v>0</v>
      </c>
      <c r="AD257" s="1">
        <f t="shared" si="70"/>
        <v>37</v>
      </c>
      <c r="AE257" s="1">
        <f t="shared" ref="AE257:AE258" si="86">IFERROR(IF($T257="","NON LIVRE",IF($I257="","PAS DE COMMANDE MATIERE",NETWORKDAYS($H257,$I257)-1)),$I257)</f>
        <v>0</v>
      </c>
      <c r="AF257" s="1">
        <f t="shared" si="71"/>
        <v>23</v>
      </c>
      <c r="AG257" s="1">
        <f t="shared" si="72"/>
        <v>14</v>
      </c>
      <c r="AH257" s="1">
        <f t="shared" ref="AH257:AH258" si="87">IFERROR(IF($T257="","NON LIVRE",IF($Q257="","PAS DE DEPART TIRAGES OU ACHATS",NETWORKDAYS($H257,$Q257)-1)),$Q257)</f>
        <v>32</v>
      </c>
      <c r="AI257" s="1">
        <f t="shared" si="73"/>
        <v>25</v>
      </c>
      <c r="AJ257" s="1" t="str">
        <f t="shared" si="74"/>
        <v>PAS DE DATE PAPIER</v>
      </c>
      <c r="AK257" s="1">
        <f t="shared" si="75"/>
        <v>13</v>
      </c>
      <c r="AL257" s="1">
        <f t="shared" si="76"/>
        <v>1</v>
      </c>
      <c r="AM257" s="1">
        <f t="shared" si="77"/>
        <v>16</v>
      </c>
      <c r="AN257" s="1">
        <f t="shared" si="78"/>
        <v>9</v>
      </c>
      <c r="AO257" s="1">
        <f t="shared" si="81"/>
        <v>7</v>
      </c>
      <c r="AP257" s="1">
        <f t="shared" si="79"/>
        <v>5</v>
      </c>
      <c r="AQ257" s="1">
        <f t="shared" si="67"/>
        <v>22</v>
      </c>
      <c r="AR257" s="1">
        <f t="shared" si="82"/>
        <v>0</v>
      </c>
    </row>
    <row r="258" spans="1:44" x14ac:dyDescent="0.3">
      <c r="A258" s="1">
        <v>26066</v>
      </c>
      <c r="B258" s="1" t="s">
        <v>60</v>
      </c>
      <c r="C258" s="3" t="s">
        <v>396</v>
      </c>
      <c r="D258" s="4">
        <v>6000</v>
      </c>
      <c r="E258" s="24">
        <f>_xlfn.XLOOKUP(A258,[1]PONCEBLANC!$Q:$Q,[1]PONCEBLANC!$J:$J,100,0)</f>
        <v>28080</v>
      </c>
      <c r="F258" s="2" t="s">
        <v>397</v>
      </c>
      <c r="G258" s="2">
        <v>46086</v>
      </c>
      <c r="H258" s="2">
        <v>46104</v>
      </c>
      <c r="I258" s="2">
        <v>46107</v>
      </c>
      <c r="J258" s="2">
        <v>46141</v>
      </c>
      <c r="K258" s="2">
        <v>46132</v>
      </c>
      <c r="L258" s="2" t="s">
        <v>315</v>
      </c>
      <c r="N258" s="2">
        <v>46139</v>
      </c>
      <c r="O258" s="2">
        <v>46119</v>
      </c>
      <c r="P258" s="2">
        <v>46142</v>
      </c>
      <c r="Q258" s="2">
        <v>46148</v>
      </c>
      <c r="R258" s="2">
        <v>46178</v>
      </c>
      <c r="S258" s="2">
        <v>46161</v>
      </c>
      <c r="T258" s="2">
        <v>46178</v>
      </c>
      <c r="U258" s="1">
        <v>2</v>
      </c>
      <c r="Y258" s="1">
        <f t="shared" si="68"/>
        <v>66</v>
      </c>
      <c r="Z258" s="1">
        <f t="shared" si="69"/>
        <v>12</v>
      </c>
      <c r="AA258" s="1">
        <f t="shared" si="84"/>
        <v>54</v>
      </c>
      <c r="AB258" s="1">
        <f t="shared" si="85"/>
        <v>41</v>
      </c>
      <c r="AC258" s="1">
        <f t="shared" si="83"/>
        <v>-15</v>
      </c>
      <c r="AD258" s="1">
        <f t="shared" si="70"/>
        <v>28</v>
      </c>
      <c r="AE258" s="1">
        <f t="shared" si="86"/>
        <v>3</v>
      </c>
      <c r="AF258" s="1">
        <f t="shared" si="71"/>
        <v>24</v>
      </c>
      <c r="AG258" s="1">
        <f t="shared" si="72"/>
        <v>1</v>
      </c>
      <c r="AH258" s="1">
        <f t="shared" si="87"/>
        <v>32</v>
      </c>
      <c r="AI258" s="1">
        <f t="shared" si="73"/>
        <v>25</v>
      </c>
      <c r="AJ258" s="1" t="str">
        <f t="shared" si="74"/>
        <v>PAS DE DATE PAPIER</v>
      </c>
      <c r="AK258" s="1">
        <f t="shared" si="75"/>
        <v>11</v>
      </c>
      <c r="AL258" s="1">
        <f t="shared" si="76"/>
        <v>20</v>
      </c>
      <c r="AM258" s="1" t="str">
        <f t="shared" si="77"/>
        <v>ANC FAB</v>
      </c>
      <c r="AN258" s="1">
        <f t="shared" si="78"/>
        <v>5</v>
      </c>
      <c r="AO258" s="1">
        <f t="shared" si="81"/>
        <v>7</v>
      </c>
      <c r="AP258" s="1">
        <f t="shared" si="79"/>
        <v>4</v>
      </c>
      <c r="AQ258" s="1">
        <f t="shared" ref="AQ258" si="88">IFERROR(IF($T258="","NON LIVRE",IF(MAX($P258,$Q258)=0,"PAS D'EXPEDITION DE MATIERE, D'IMPRESSION, OU D'ACHAT",NETWORKDAYS(MAX($P258,$Q258),$S258)-1)),"PAS D'EXPEDITION DE MATIERE, D'IMPRESSION, OU D'ACHAT")</f>
        <v>9</v>
      </c>
      <c r="AR258" s="1">
        <f t="shared" si="82"/>
        <v>13</v>
      </c>
    </row>
    <row r="259" spans="1:44" x14ac:dyDescent="0.3">
      <c r="A259" s="1">
        <v>26067</v>
      </c>
      <c r="E259" s="24">
        <f>_xlfn.XLOOKUP(A259,[1]PONCEBLANC!$Q:$Q,[1]PONCEBLANC!$J:$J,100,0)</f>
        <v>7160</v>
      </c>
      <c r="G259" s="2">
        <v>45952</v>
      </c>
      <c r="Y259" s="1" t="str">
        <f t="shared" ref="Y259:Y317" si="89">IF(OR($T259="",$G259=""),"DATE MANQUANTE",NETWORKDAYS($G259,$T259)-1)</f>
        <v>DATE MANQUANTE</v>
      </c>
      <c r="Z259" s="1" t="str">
        <f t="shared" ref="Z259:Z317" si="90">IF(OR($H259="",$G259=""),"DATE MANQUANTE",NETWORKDAYS($G259,$H259)-1)</f>
        <v>DATE MANQUANTE</v>
      </c>
    </row>
    <row r="260" spans="1:44" x14ac:dyDescent="0.3">
      <c r="A260" s="1">
        <v>26068</v>
      </c>
      <c r="B260" s="1" t="s">
        <v>440</v>
      </c>
      <c r="C260" s="3" t="s">
        <v>110</v>
      </c>
      <c r="D260" s="4">
        <v>1000</v>
      </c>
      <c r="E260" s="24">
        <f>_xlfn.XLOOKUP(A260,[1]PONCEBLANC!$Q:$Q,[1]PONCEBLANC!$J:$J,100,0)</f>
        <v>7000</v>
      </c>
      <c r="F260" s="2" t="s">
        <v>397</v>
      </c>
      <c r="G260" s="2">
        <v>46085</v>
      </c>
      <c r="H260" s="2">
        <v>46104</v>
      </c>
      <c r="I260" s="2">
        <v>46106</v>
      </c>
      <c r="J260" s="2">
        <v>46205</v>
      </c>
      <c r="K260" s="2">
        <v>46196</v>
      </c>
      <c r="L260" s="2">
        <v>46188</v>
      </c>
      <c r="N260" s="2">
        <v>46203</v>
      </c>
      <c r="O260" s="2">
        <v>46119</v>
      </c>
      <c r="P260" s="2">
        <v>46213</v>
      </c>
      <c r="Q260" s="2">
        <v>46205</v>
      </c>
      <c r="R260" s="2">
        <v>46255</v>
      </c>
      <c r="S260" s="2">
        <v>46241</v>
      </c>
      <c r="T260" s="2">
        <v>46241</v>
      </c>
      <c r="U260" s="1">
        <v>1</v>
      </c>
      <c r="Y260" s="1">
        <f t="shared" si="89"/>
        <v>112</v>
      </c>
      <c r="Z260" s="1">
        <f t="shared" si="90"/>
        <v>13</v>
      </c>
    </row>
    <row r="261" spans="1:44" x14ac:dyDescent="0.3">
      <c r="A261" s="1">
        <v>26069</v>
      </c>
      <c r="E261" s="24">
        <f>_xlfn.XLOOKUP(A261,[1]PONCEBLANC!$Q:$Q,[1]PONCEBLANC!$J:$J,100,0)</f>
        <v>7100</v>
      </c>
      <c r="G261" s="2">
        <v>46069</v>
      </c>
      <c r="Y261" s="1" t="str">
        <f t="shared" si="89"/>
        <v>DATE MANQUANTE</v>
      </c>
      <c r="Z261" s="1" t="str">
        <f t="shared" si="90"/>
        <v>DATE MANQUANTE</v>
      </c>
    </row>
    <row r="262" spans="1:44" x14ac:dyDescent="0.3">
      <c r="A262" s="1">
        <v>26070</v>
      </c>
      <c r="B262" s="1" t="s">
        <v>416</v>
      </c>
      <c r="C262" s="3" t="s">
        <v>417</v>
      </c>
      <c r="D262" s="4">
        <v>1500</v>
      </c>
      <c r="E262" s="24">
        <f>_xlfn.XLOOKUP(A262,[1]PONCEBLANC!$Q:$Q,[1]PONCEBLANC!$J:$J,100,0)</f>
        <v>8100.0000000000018</v>
      </c>
      <c r="G262" s="2">
        <v>46051</v>
      </c>
      <c r="H262" s="2">
        <v>46104</v>
      </c>
      <c r="J262" s="2">
        <v>46122</v>
      </c>
      <c r="K262" s="2">
        <v>46153</v>
      </c>
      <c r="M262" s="2">
        <v>46170</v>
      </c>
      <c r="P262" s="2">
        <v>46136</v>
      </c>
      <c r="Q262" s="2">
        <v>46177</v>
      </c>
      <c r="R262" s="2">
        <v>46199</v>
      </c>
      <c r="S262" s="2">
        <v>46192</v>
      </c>
      <c r="T262" s="2">
        <v>46192</v>
      </c>
      <c r="U262" s="1">
        <v>1</v>
      </c>
      <c r="Y262" s="1">
        <f t="shared" si="89"/>
        <v>101</v>
      </c>
      <c r="Z262" s="1">
        <f t="shared" si="90"/>
        <v>37</v>
      </c>
    </row>
    <row r="263" spans="1:44" x14ac:dyDescent="0.3">
      <c r="A263" s="1">
        <v>26071</v>
      </c>
      <c r="B263" s="1" t="s">
        <v>27</v>
      </c>
      <c r="C263" s="3" t="s">
        <v>425</v>
      </c>
      <c r="D263" s="4">
        <v>1800</v>
      </c>
      <c r="E263" s="24">
        <f>_xlfn.XLOOKUP(A263,[1]PONCEBLANC!$Q:$Q,[1]PONCEBLANC!$J:$J,100,0)</f>
        <v>6102</v>
      </c>
      <c r="F263" s="2" t="s">
        <v>128</v>
      </c>
      <c r="G263" s="2">
        <v>46085</v>
      </c>
      <c r="H263" s="2">
        <v>46104</v>
      </c>
      <c r="J263" s="2">
        <v>46154</v>
      </c>
      <c r="K263" s="2">
        <v>46155</v>
      </c>
      <c r="L263" s="2">
        <v>46185</v>
      </c>
      <c r="M263" s="2">
        <v>46168</v>
      </c>
      <c r="N263" s="2">
        <v>46168</v>
      </c>
      <c r="P263" s="2">
        <v>46164</v>
      </c>
      <c r="Q263" s="2">
        <v>46184</v>
      </c>
      <c r="R263" s="2">
        <v>46206</v>
      </c>
      <c r="S263" s="2">
        <v>46206</v>
      </c>
      <c r="T263" s="2">
        <v>46206</v>
      </c>
      <c r="U263" s="1">
        <v>1</v>
      </c>
      <c r="Y263" s="1">
        <f t="shared" si="89"/>
        <v>87</v>
      </c>
      <c r="Z263" s="1">
        <f t="shared" si="90"/>
        <v>13</v>
      </c>
    </row>
    <row r="264" spans="1:44" x14ac:dyDescent="0.3">
      <c r="A264" s="1">
        <v>26072</v>
      </c>
      <c r="B264" s="1" t="s">
        <v>73</v>
      </c>
      <c r="C264" s="3" t="s">
        <v>404</v>
      </c>
      <c r="D264" s="4">
        <v>500</v>
      </c>
      <c r="E264" s="24">
        <f>_xlfn.XLOOKUP(A264,[1]PONCEBLANC!$Q:$Q,[1]PONCEBLANC!$J:$J,100,0)</f>
        <v>1565</v>
      </c>
      <c r="G264" s="2">
        <v>46106</v>
      </c>
      <c r="H264" s="2">
        <v>46107</v>
      </c>
      <c r="J264" s="2">
        <v>46149</v>
      </c>
      <c r="P264" s="2">
        <v>46164</v>
      </c>
      <c r="Q264" s="2">
        <v>46136</v>
      </c>
      <c r="R264" s="2">
        <v>46178</v>
      </c>
      <c r="S264" s="2">
        <v>46178</v>
      </c>
      <c r="T264" s="2">
        <v>46178</v>
      </c>
      <c r="U264" s="1">
        <v>1</v>
      </c>
      <c r="Y264" s="1">
        <f t="shared" si="89"/>
        <v>52</v>
      </c>
      <c r="Z264" s="1">
        <f t="shared" si="90"/>
        <v>1</v>
      </c>
    </row>
    <row r="265" spans="1:44" x14ac:dyDescent="0.3">
      <c r="A265" s="1">
        <v>26073</v>
      </c>
      <c r="E265" s="24">
        <f>_xlfn.XLOOKUP(A265,[1]PONCEBLANC!$Q:$Q,[1]PONCEBLANC!$J:$J,100,0)</f>
        <v>100</v>
      </c>
      <c r="G265" s="2" t="s">
        <v>450</v>
      </c>
      <c r="Y265" s="1" t="str">
        <f t="shared" si="89"/>
        <v>DATE MANQUANTE</v>
      </c>
      <c r="Z265" s="1" t="str">
        <f t="shared" si="90"/>
        <v>DATE MANQUANTE</v>
      </c>
    </row>
    <row r="266" spans="1:44" x14ac:dyDescent="0.3">
      <c r="A266" s="1">
        <v>26074</v>
      </c>
      <c r="E266" s="24">
        <f>_xlfn.XLOOKUP(A266,[1]PONCEBLANC!$Q:$Q,[1]PONCEBLANC!$J:$J,100,0)</f>
        <v>100</v>
      </c>
      <c r="G266" s="2" t="s">
        <v>450</v>
      </c>
      <c r="Y266" s="1" t="str">
        <f t="shared" si="89"/>
        <v>DATE MANQUANTE</v>
      </c>
      <c r="Z266" s="1" t="str">
        <f t="shared" si="90"/>
        <v>DATE MANQUANTE</v>
      </c>
    </row>
    <row r="267" spans="1:44" x14ac:dyDescent="0.3">
      <c r="A267" s="1">
        <v>26075</v>
      </c>
      <c r="E267" s="24">
        <f>_xlfn.XLOOKUP(A267,[1]PONCEBLANC!$Q:$Q,[1]PONCEBLANC!$J:$J,100,0)</f>
        <v>12120</v>
      </c>
      <c r="G267" s="2">
        <v>46097</v>
      </c>
      <c r="Y267" s="1" t="str">
        <f t="shared" si="89"/>
        <v>DATE MANQUANTE</v>
      </c>
      <c r="Z267" s="1" t="str">
        <f t="shared" si="90"/>
        <v>DATE MANQUANTE</v>
      </c>
    </row>
    <row r="268" spans="1:44" x14ac:dyDescent="0.3">
      <c r="A268" s="1">
        <v>26076</v>
      </c>
      <c r="E268" s="24">
        <f>_xlfn.XLOOKUP(A268,[1]PONCEBLANC!$Q:$Q,[1]PONCEBLANC!$J:$J,100,0)</f>
        <v>13450</v>
      </c>
      <c r="G268" s="2">
        <v>46078</v>
      </c>
      <c r="Y268" s="1" t="str">
        <f t="shared" si="89"/>
        <v>DATE MANQUANTE</v>
      </c>
      <c r="Z268" s="1" t="str">
        <f t="shared" si="90"/>
        <v>DATE MANQUANTE</v>
      </c>
    </row>
    <row r="269" spans="1:44" x14ac:dyDescent="0.3">
      <c r="A269" s="1">
        <v>26077</v>
      </c>
      <c r="E269" s="24">
        <f>_xlfn.XLOOKUP(A269,[1]PONCEBLANC!$Q:$Q,[1]PONCEBLANC!$J:$J,100,0)</f>
        <v>197400</v>
      </c>
      <c r="G269" s="2">
        <v>46000</v>
      </c>
      <c r="Y269" s="1" t="str">
        <f t="shared" si="89"/>
        <v>DATE MANQUANTE</v>
      </c>
      <c r="Z269" s="1" t="str">
        <f t="shared" si="90"/>
        <v>DATE MANQUANTE</v>
      </c>
    </row>
    <row r="270" spans="1:44" x14ac:dyDescent="0.3">
      <c r="A270" s="1">
        <v>26078</v>
      </c>
      <c r="B270" s="1" t="s">
        <v>418</v>
      </c>
      <c r="C270" s="3" t="s">
        <v>356</v>
      </c>
      <c r="D270" s="4">
        <v>12000</v>
      </c>
      <c r="E270" s="24">
        <f>_xlfn.XLOOKUP(A270,[1]PONCEBLANC!$Q:$Q,[1]PONCEBLANC!$J:$J,100,0)</f>
        <v>12700</v>
      </c>
      <c r="F270" s="2" t="s">
        <v>419</v>
      </c>
      <c r="G270" s="2">
        <v>46076</v>
      </c>
      <c r="H270" s="2">
        <v>46115</v>
      </c>
      <c r="I270" s="2">
        <v>46135</v>
      </c>
      <c r="J270" s="2">
        <v>46169</v>
      </c>
      <c r="K270" s="2">
        <v>46149</v>
      </c>
      <c r="L270" s="2">
        <v>46154</v>
      </c>
      <c r="M270" s="2">
        <v>46141</v>
      </c>
      <c r="N270" s="2">
        <v>46170</v>
      </c>
      <c r="P270" s="2">
        <v>46171</v>
      </c>
      <c r="Q270" s="2">
        <v>46177</v>
      </c>
      <c r="R270" s="2">
        <v>46199</v>
      </c>
      <c r="S270" s="2">
        <v>46192</v>
      </c>
      <c r="T270" s="2">
        <v>46196</v>
      </c>
      <c r="U270" s="1">
        <v>2</v>
      </c>
      <c r="Y270" s="1">
        <f t="shared" si="89"/>
        <v>86</v>
      </c>
      <c r="Z270" s="1">
        <f t="shared" si="90"/>
        <v>29</v>
      </c>
    </row>
    <row r="271" spans="1:44" x14ac:dyDescent="0.3">
      <c r="A271" s="1">
        <v>26079</v>
      </c>
      <c r="E271" s="24">
        <f>_xlfn.XLOOKUP(A271,[1]PONCEBLANC!$Q:$Q,[1]PONCEBLANC!$J:$J,100,0)</f>
        <v>100</v>
      </c>
      <c r="G271" s="2" t="s">
        <v>450</v>
      </c>
      <c r="Y271" s="1" t="str">
        <f t="shared" si="89"/>
        <v>DATE MANQUANTE</v>
      </c>
      <c r="Z271" s="1" t="str">
        <f t="shared" si="90"/>
        <v>DATE MANQUANTE</v>
      </c>
    </row>
    <row r="272" spans="1:44" x14ac:dyDescent="0.3">
      <c r="A272" s="1">
        <v>26080</v>
      </c>
      <c r="B272" s="1" t="s">
        <v>17</v>
      </c>
      <c r="C272" s="3" t="s">
        <v>428</v>
      </c>
      <c r="D272" s="4">
        <v>3000</v>
      </c>
      <c r="E272" s="24">
        <f>_xlfn.XLOOKUP(A272,[1]PONCEBLANC!$Q:$Q,[1]PONCEBLANC!$J:$J,100,0)</f>
        <v>122400</v>
      </c>
      <c r="F272" s="2" t="s">
        <v>397</v>
      </c>
      <c r="G272" s="2">
        <v>46084</v>
      </c>
      <c r="H272" s="2">
        <v>46119</v>
      </c>
      <c r="I272" s="2">
        <v>46127</v>
      </c>
      <c r="J272" s="2">
        <v>46181</v>
      </c>
      <c r="K272" s="2">
        <v>46126</v>
      </c>
      <c r="L272" s="2">
        <v>46126</v>
      </c>
      <c r="M272" s="2">
        <v>46141</v>
      </c>
      <c r="N272" s="2">
        <v>46161</v>
      </c>
      <c r="O272" s="2">
        <v>46155</v>
      </c>
      <c r="P272" s="2">
        <v>46171</v>
      </c>
      <c r="Q272" s="2">
        <v>46171</v>
      </c>
      <c r="R272" s="2">
        <v>46199</v>
      </c>
      <c r="S272" s="2">
        <v>46199</v>
      </c>
      <c r="T272" s="2">
        <v>46199</v>
      </c>
      <c r="U272" s="1">
        <v>1</v>
      </c>
      <c r="Y272" s="1">
        <f t="shared" si="89"/>
        <v>83</v>
      </c>
      <c r="Z272" s="1">
        <f t="shared" si="90"/>
        <v>25</v>
      </c>
    </row>
    <row r="273" spans="1:26" x14ac:dyDescent="0.3">
      <c r="A273" s="1">
        <v>26081</v>
      </c>
      <c r="E273" s="24">
        <f>_xlfn.XLOOKUP(A273,[1]PONCEBLANC!$Q:$Q,[1]PONCEBLANC!$J:$J,100,0)</f>
        <v>167160</v>
      </c>
      <c r="G273" s="2">
        <v>46065</v>
      </c>
      <c r="Y273" s="1" t="str">
        <f t="shared" si="89"/>
        <v>DATE MANQUANTE</v>
      </c>
      <c r="Z273" s="1" t="str">
        <f t="shared" si="90"/>
        <v>DATE MANQUANTE</v>
      </c>
    </row>
    <row r="274" spans="1:26" x14ac:dyDescent="0.3">
      <c r="A274" s="1">
        <v>26082</v>
      </c>
      <c r="B274" s="1" t="s">
        <v>73</v>
      </c>
      <c r="C274" s="3" t="s">
        <v>409</v>
      </c>
      <c r="D274" s="4">
        <v>300</v>
      </c>
      <c r="E274" s="24">
        <f>_xlfn.XLOOKUP(A274,[1]PONCEBLANC!$Q:$Q,[1]PONCEBLANC!$J:$J,100,0)</f>
        <v>1974</v>
      </c>
      <c r="F274" s="2" t="s">
        <v>397</v>
      </c>
      <c r="G274" s="2">
        <v>46107</v>
      </c>
      <c r="H274" s="2">
        <v>46119</v>
      </c>
      <c r="I274" s="2">
        <v>46113</v>
      </c>
      <c r="J274" s="2">
        <v>46169</v>
      </c>
      <c r="L274" s="2">
        <v>46149</v>
      </c>
      <c r="N274" s="2">
        <v>46140</v>
      </c>
      <c r="P274" s="2">
        <v>46171</v>
      </c>
      <c r="Q274" s="2">
        <v>46164</v>
      </c>
      <c r="R274" s="2">
        <v>46185</v>
      </c>
      <c r="S274" s="2">
        <v>46185</v>
      </c>
      <c r="T274" s="2">
        <v>46185</v>
      </c>
      <c r="U274" s="1">
        <v>1</v>
      </c>
      <c r="Y274" s="1">
        <f t="shared" si="89"/>
        <v>56</v>
      </c>
      <c r="Z274" s="1">
        <f t="shared" si="90"/>
        <v>8</v>
      </c>
    </row>
    <row r="275" spans="1:26" x14ac:dyDescent="0.3">
      <c r="A275" s="1">
        <v>26083</v>
      </c>
      <c r="B275" s="1" t="s">
        <v>426</v>
      </c>
      <c r="C275" s="3" t="s">
        <v>427</v>
      </c>
      <c r="D275" s="4">
        <v>1500</v>
      </c>
      <c r="E275" s="24">
        <f>_xlfn.XLOOKUP(A275,[1]PONCEBLANC!$Q:$Q,[1]PONCEBLANC!$J:$J,100,0)</f>
        <v>11580</v>
      </c>
      <c r="F275" s="2" t="s">
        <v>397</v>
      </c>
      <c r="G275" s="2">
        <v>46056</v>
      </c>
      <c r="H275" s="2">
        <v>46119</v>
      </c>
      <c r="J275" s="2">
        <v>46106</v>
      </c>
      <c r="K275" s="2">
        <v>46161</v>
      </c>
      <c r="L275" s="2">
        <v>46168</v>
      </c>
      <c r="N275" s="2">
        <v>46174</v>
      </c>
      <c r="P275" s="2">
        <v>46126</v>
      </c>
      <c r="Q275" s="2">
        <v>46177</v>
      </c>
      <c r="R275" s="2">
        <v>46199</v>
      </c>
      <c r="S275" s="2">
        <v>46199</v>
      </c>
      <c r="T275" s="2">
        <v>46199</v>
      </c>
      <c r="U275" s="1">
        <v>1</v>
      </c>
      <c r="Y275" s="1">
        <f t="shared" si="89"/>
        <v>103</v>
      </c>
      <c r="Z275" s="1">
        <f t="shared" si="90"/>
        <v>45</v>
      </c>
    </row>
    <row r="276" spans="1:26" x14ac:dyDescent="0.3">
      <c r="A276" s="1">
        <v>26084</v>
      </c>
      <c r="E276" s="24">
        <f>_xlfn.XLOOKUP(A276,[1]PONCEBLANC!$Q:$Q,[1]PONCEBLANC!$J:$J,100,0)</f>
        <v>78624</v>
      </c>
      <c r="G276" s="2">
        <v>46114</v>
      </c>
      <c r="Y276" s="1" t="str">
        <f t="shared" si="89"/>
        <v>DATE MANQUANTE</v>
      </c>
      <c r="Z276" s="1" t="str">
        <f t="shared" si="90"/>
        <v>DATE MANQUANTE</v>
      </c>
    </row>
    <row r="277" spans="1:26" x14ac:dyDescent="0.3">
      <c r="A277" s="1">
        <v>26085</v>
      </c>
      <c r="E277" s="24">
        <f>_xlfn.XLOOKUP(A277,[1]PONCEBLANC!$Q:$Q,[1]PONCEBLANC!$J:$J,100,0)</f>
        <v>57760</v>
      </c>
      <c r="G277" s="2">
        <v>46114</v>
      </c>
      <c r="Y277" s="1" t="str">
        <f t="shared" si="89"/>
        <v>DATE MANQUANTE</v>
      </c>
      <c r="Z277" s="1" t="str">
        <f t="shared" si="90"/>
        <v>DATE MANQUANTE</v>
      </c>
    </row>
    <row r="278" spans="1:26" x14ac:dyDescent="0.3">
      <c r="A278" s="1">
        <v>26086</v>
      </c>
      <c r="B278" s="1" t="s">
        <v>20</v>
      </c>
      <c r="C278" s="3" t="s">
        <v>420</v>
      </c>
      <c r="D278" s="4">
        <v>2000</v>
      </c>
      <c r="E278" s="24">
        <f>_xlfn.XLOOKUP(A278,[1]PONCEBLANC!$Q:$Q,[1]PONCEBLANC!$J:$J,100,0)</f>
        <v>11980</v>
      </c>
      <c r="F278" s="2" t="s">
        <v>397</v>
      </c>
      <c r="G278" s="2">
        <v>46098</v>
      </c>
      <c r="H278" s="2">
        <v>46120</v>
      </c>
      <c r="I278" s="2">
        <v>46111</v>
      </c>
      <c r="J278" s="2">
        <v>46167</v>
      </c>
      <c r="K278" s="2">
        <v>46154</v>
      </c>
      <c r="L278" s="2">
        <v>46199</v>
      </c>
      <c r="N278" s="2">
        <v>46174</v>
      </c>
      <c r="O278" s="2">
        <v>46155</v>
      </c>
      <c r="P278" s="2">
        <v>46178</v>
      </c>
      <c r="Q278" s="2">
        <v>46177</v>
      </c>
      <c r="R278" s="2">
        <v>46192</v>
      </c>
      <c r="S278" s="2">
        <v>46192</v>
      </c>
      <c r="T278" s="2">
        <v>46192</v>
      </c>
      <c r="U278" s="1">
        <v>1</v>
      </c>
      <c r="Y278" s="1">
        <f t="shared" si="89"/>
        <v>68</v>
      </c>
      <c r="Z278" s="1">
        <f t="shared" si="90"/>
        <v>16</v>
      </c>
    </row>
    <row r="279" spans="1:26" x14ac:dyDescent="0.3">
      <c r="A279" s="1">
        <v>26087</v>
      </c>
      <c r="E279" s="24">
        <f>_xlfn.XLOOKUP(A279,[1]PONCEBLANC!$Q:$Q,[1]PONCEBLANC!$J:$J,100,0)</f>
        <v>6780</v>
      </c>
      <c r="G279" s="2">
        <v>46048</v>
      </c>
      <c r="Y279" s="1" t="str">
        <f t="shared" si="89"/>
        <v>DATE MANQUANTE</v>
      </c>
      <c r="Z279" s="1" t="str">
        <f t="shared" si="90"/>
        <v>DATE MANQUANTE</v>
      </c>
    </row>
    <row r="280" spans="1:26" x14ac:dyDescent="0.3">
      <c r="A280" s="1">
        <v>26088</v>
      </c>
      <c r="B280" s="1" t="s">
        <v>35</v>
      </c>
      <c r="C280" s="3" t="s">
        <v>439</v>
      </c>
      <c r="D280" s="4">
        <v>3000</v>
      </c>
      <c r="E280" s="24">
        <f>_xlfn.XLOOKUP(A280,[1]PONCEBLANC!$Q:$Q,[1]PONCEBLANC!$J:$J,100,0)</f>
        <v>100</v>
      </c>
      <c r="F280" s="2" t="s">
        <v>128</v>
      </c>
      <c r="G280" s="2" t="s">
        <v>450</v>
      </c>
      <c r="H280" s="2">
        <v>46125</v>
      </c>
      <c r="I280" s="2">
        <v>46126</v>
      </c>
      <c r="J280" s="2">
        <v>46160</v>
      </c>
      <c r="K280" s="2">
        <v>46128</v>
      </c>
      <c r="L280" s="2" t="s">
        <v>315</v>
      </c>
      <c r="N280" s="2">
        <v>46174</v>
      </c>
      <c r="O280" s="2">
        <v>46155</v>
      </c>
      <c r="P280" s="2">
        <v>46185</v>
      </c>
      <c r="Q280" s="2">
        <v>46177</v>
      </c>
      <c r="R280" s="2">
        <v>46199</v>
      </c>
      <c r="S280" s="2">
        <v>46199</v>
      </c>
      <c r="T280" s="2">
        <v>46206</v>
      </c>
      <c r="U280" s="1">
        <v>1</v>
      </c>
      <c r="Y280" s="1" t="str">
        <f t="shared" si="89"/>
        <v>DATE MANQUANTE</v>
      </c>
      <c r="Z280" s="1" t="str">
        <f t="shared" si="90"/>
        <v>DATE MANQUANTE</v>
      </c>
    </row>
    <row r="281" spans="1:26" x14ac:dyDescent="0.3">
      <c r="A281" s="1">
        <v>26089</v>
      </c>
      <c r="B281" s="1" t="s">
        <v>35</v>
      </c>
      <c r="C281" s="3" t="s">
        <v>421</v>
      </c>
      <c r="D281" s="4">
        <v>1000</v>
      </c>
      <c r="E281" s="24">
        <f>_xlfn.XLOOKUP(A281,[1]PONCEBLANC!$Q:$Q,[1]PONCEBLANC!$J:$J,100,0)</f>
        <v>100</v>
      </c>
      <c r="F281" s="2" t="s">
        <v>397</v>
      </c>
      <c r="G281" s="2" t="s">
        <v>450</v>
      </c>
      <c r="H281" s="2">
        <v>46125</v>
      </c>
      <c r="I281" s="2">
        <v>46127</v>
      </c>
      <c r="J281" s="2">
        <v>46163</v>
      </c>
      <c r="K281" s="2">
        <v>46127</v>
      </c>
      <c r="L281" s="2" t="s">
        <v>315</v>
      </c>
      <c r="N281" s="2">
        <v>46174</v>
      </c>
      <c r="O281" s="2">
        <v>46155</v>
      </c>
      <c r="P281" s="2">
        <v>46178</v>
      </c>
      <c r="Q281" s="2">
        <v>46177</v>
      </c>
      <c r="R281" s="2">
        <v>46199</v>
      </c>
      <c r="S281" s="2">
        <v>46199</v>
      </c>
      <c r="T281" s="2">
        <v>46199</v>
      </c>
      <c r="U281" s="1">
        <v>1</v>
      </c>
      <c r="Y281" s="1" t="str">
        <f t="shared" si="89"/>
        <v>DATE MANQUANTE</v>
      </c>
      <c r="Z281" s="1" t="str">
        <f t="shared" si="90"/>
        <v>DATE MANQUANTE</v>
      </c>
    </row>
    <row r="282" spans="1:26" x14ac:dyDescent="0.3">
      <c r="A282" s="1">
        <v>26090</v>
      </c>
      <c r="B282" s="1" t="s">
        <v>51</v>
      </c>
      <c r="C282" s="3" t="s">
        <v>429</v>
      </c>
      <c r="D282" s="4">
        <v>2000</v>
      </c>
      <c r="E282" s="24">
        <f>_xlfn.XLOOKUP(A282,[1]PONCEBLANC!$Q:$Q,[1]PONCEBLANC!$J:$J,100,0)</f>
        <v>11860</v>
      </c>
      <c r="F282" s="2" t="s">
        <v>397</v>
      </c>
      <c r="G282" s="2">
        <v>46122</v>
      </c>
      <c r="H282" s="2">
        <v>46126</v>
      </c>
      <c r="I282" s="2">
        <v>46126</v>
      </c>
      <c r="J282" s="2">
        <v>46176</v>
      </c>
      <c r="K282" s="2">
        <v>46136</v>
      </c>
      <c r="L282" s="2">
        <v>46129</v>
      </c>
      <c r="N282" s="2">
        <v>46174</v>
      </c>
      <c r="O282" s="2">
        <v>46155</v>
      </c>
      <c r="P282" s="2">
        <v>46185</v>
      </c>
      <c r="Q282" s="2">
        <v>46177</v>
      </c>
      <c r="R282" s="2">
        <v>46177</v>
      </c>
      <c r="S282" s="2">
        <v>46199</v>
      </c>
      <c r="T282" s="2">
        <v>46199</v>
      </c>
      <c r="U282" s="1">
        <v>1</v>
      </c>
      <c r="Y282" s="1">
        <f t="shared" si="89"/>
        <v>55</v>
      </c>
      <c r="Z282" s="1">
        <f t="shared" si="90"/>
        <v>2</v>
      </c>
    </row>
    <row r="283" spans="1:26" x14ac:dyDescent="0.3">
      <c r="A283" s="1">
        <v>26091</v>
      </c>
      <c r="E283" s="24">
        <f>_xlfn.XLOOKUP(A283,[1]PONCEBLANC!$Q:$Q,[1]PONCEBLANC!$J:$J,100,0)</f>
        <v>12968</v>
      </c>
      <c r="G283" s="2">
        <v>46111</v>
      </c>
      <c r="Y283" s="1" t="str">
        <f t="shared" si="89"/>
        <v>DATE MANQUANTE</v>
      </c>
      <c r="Z283" s="1" t="str">
        <f t="shared" si="90"/>
        <v>DATE MANQUANTE</v>
      </c>
    </row>
    <row r="284" spans="1:26" x14ac:dyDescent="0.3">
      <c r="A284" s="1">
        <v>26092</v>
      </c>
      <c r="E284" s="24">
        <f>_xlfn.XLOOKUP(A284,[1]PONCEBLANC!$Q:$Q,[1]PONCEBLANC!$J:$J,100,0)</f>
        <v>80990</v>
      </c>
      <c r="G284" s="2">
        <v>46111</v>
      </c>
      <c r="Y284" s="1" t="str">
        <f t="shared" si="89"/>
        <v>DATE MANQUANTE</v>
      </c>
      <c r="Z284" s="1" t="str">
        <f t="shared" si="90"/>
        <v>DATE MANQUANTE</v>
      </c>
    </row>
    <row r="285" spans="1:26" x14ac:dyDescent="0.3">
      <c r="A285" s="1">
        <v>26093</v>
      </c>
      <c r="E285" s="24">
        <f>_xlfn.XLOOKUP(A285,[1]PONCEBLANC!$Q:$Q,[1]PONCEBLANC!$J:$J,100,0)</f>
        <v>17940</v>
      </c>
      <c r="G285" s="2">
        <v>46111</v>
      </c>
      <c r="Y285" s="1" t="str">
        <f t="shared" si="89"/>
        <v>DATE MANQUANTE</v>
      </c>
      <c r="Z285" s="1" t="str">
        <f t="shared" si="90"/>
        <v>DATE MANQUANTE</v>
      </c>
    </row>
    <row r="286" spans="1:26" x14ac:dyDescent="0.3">
      <c r="A286" s="1">
        <v>26094</v>
      </c>
      <c r="B286" s="1" t="s">
        <v>111</v>
      </c>
      <c r="C286" s="3" t="s">
        <v>430</v>
      </c>
      <c r="D286" s="4">
        <v>1000</v>
      </c>
      <c r="E286" s="24">
        <f>_xlfn.XLOOKUP(A286,[1]PONCEBLANC!$Q:$Q,[1]PONCEBLANC!$J:$J,100,0)</f>
        <v>24400</v>
      </c>
      <c r="F286" s="2" t="s">
        <v>179</v>
      </c>
      <c r="G286" s="2">
        <v>46114</v>
      </c>
      <c r="H286" s="2">
        <v>46127</v>
      </c>
      <c r="K286" s="2" t="s">
        <v>431</v>
      </c>
      <c r="L286" s="2" t="s">
        <v>315</v>
      </c>
      <c r="N286" s="2">
        <v>46169</v>
      </c>
      <c r="O286" s="2">
        <v>46155</v>
      </c>
      <c r="Q286" s="2">
        <v>46171</v>
      </c>
      <c r="R286" s="2">
        <v>46199</v>
      </c>
      <c r="S286" s="2">
        <v>46199</v>
      </c>
      <c r="T286" s="2">
        <v>46199</v>
      </c>
      <c r="U286" s="1">
        <v>1</v>
      </c>
      <c r="Y286" s="1">
        <f t="shared" si="89"/>
        <v>61</v>
      </c>
      <c r="Z286" s="1">
        <f t="shared" si="90"/>
        <v>9</v>
      </c>
    </row>
    <row r="287" spans="1:26" x14ac:dyDescent="0.3">
      <c r="A287" s="1">
        <v>26095</v>
      </c>
      <c r="E287" s="24">
        <f>_xlfn.XLOOKUP(A287,[1]PONCEBLANC!$Q:$Q,[1]PONCEBLANC!$J:$J,100,0)</f>
        <v>10188</v>
      </c>
      <c r="G287" s="2">
        <v>46111</v>
      </c>
      <c r="Y287" s="1" t="str">
        <f t="shared" si="89"/>
        <v>DATE MANQUANTE</v>
      </c>
      <c r="Z287" s="1" t="str">
        <f t="shared" si="90"/>
        <v>DATE MANQUANTE</v>
      </c>
    </row>
    <row r="288" spans="1:26" x14ac:dyDescent="0.3">
      <c r="A288" s="1">
        <v>26096</v>
      </c>
      <c r="E288" s="24">
        <f>_xlfn.XLOOKUP(A288,[1]PONCEBLANC!$Q:$Q,[1]PONCEBLANC!$J:$J,100,0)</f>
        <v>19100</v>
      </c>
      <c r="G288" s="2">
        <v>46064</v>
      </c>
      <c r="Y288" s="1" t="str">
        <f t="shared" si="89"/>
        <v>DATE MANQUANTE</v>
      </c>
      <c r="Z288" s="1" t="str">
        <f t="shared" si="90"/>
        <v>DATE MANQUANTE</v>
      </c>
    </row>
    <row r="289" spans="1:26" x14ac:dyDescent="0.3">
      <c r="A289" s="1">
        <v>26097</v>
      </c>
      <c r="E289" s="24">
        <f>_xlfn.XLOOKUP(A289,[1]PONCEBLANC!$Q:$Q,[1]PONCEBLANC!$J:$J,100,0)</f>
        <v>2972</v>
      </c>
      <c r="G289" s="2">
        <v>46097</v>
      </c>
      <c r="Y289" s="1" t="str">
        <f t="shared" si="89"/>
        <v>DATE MANQUANTE</v>
      </c>
      <c r="Z289" s="1" t="str">
        <f t="shared" si="90"/>
        <v>DATE MANQUANTE</v>
      </c>
    </row>
    <row r="290" spans="1:26" x14ac:dyDescent="0.3">
      <c r="A290" s="1">
        <v>26098</v>
      </c>
      <c r="B290" s="1" t="s">
        <v>422</v>
      </c>
      <c r="C290" s="3" t="s">
        <v>423</v>
      </c>
      <c r="D290" s="4">
        <v>100</v>
      </c>
      <c r="E290" s="24">
        <f>_xlfn.XLOOKUP(A290,[1]PONCEBLANC!$Q:$Q,[1]PONCEBLANC!$J:$J,100,0)</f>
        <v>8520</v>
      </c>
      <c r="G290" s="2">
        <v>46038</v>
      </c>
      <c r="H290" s="2">
        <v>46142</v>
      </c>
      <c r="M290" s="2">
        <v>46157</v>
      </c>
      <c r="N290" s="2">
        <v>46163</v>
      </c>
      <c r="Q290" s="2">
        <v>46184</v>
      </c>
      <c r="R290" s="2">
        <v>46192</v>
      </c>
      <c r="S290" s="2">
        <v>46192</v>
      </c>
      <c r="T290" s="2">
        <v>46192</v>
      </c>
      <c r="U290" s="1">
        <v>1</v>
      </c>
      <c r="Y290" s="1">
        <f t="shared" si="89"/>
        <v>110</v>
      </c>
      <c r="Z290" s="1">
        <f t="shared" si="90"/>
        <v>74</v>
      </c>
    </row>
    <row r="291" spans="1:26" x14ac:dyDescent="0.3">
      <c r="A291" s="1">
        <v>26099</v>
      </c>
      <c r="B291" s="1" t="s">
        <v>58</v>
      </c>
      <c r="C291" s="3" t="s">
        <v>59</v>
      </c>
      <c r="D291" s="4">
        <v>1000</v>
      </c>
      <c r="E291" s="24">
        <f>_xlfn.XLOOKUP(A291,[1]PONCEBLANC!$Q:$Q,[1]PONCEBLANC!$J:$J,100,0)</f>
        <v>4840</v>
      </c>
      <c r="F291" s="2" t="s">
        <v>128</v>
      </c>
      <c r="G291" s="2">
        <v>46119</v>
      </c>
      <c r="H291" s="2">
        <v>46140</v>
      </c>
      <c r="I291" s="2">
        <v>46139</v>
      </c>
      <c r="J291" s="2">
        <v>46157</v>
      </c>
      <c r="K291" s="2">
        <v>46162</v>
      </c>
      <c r="L291" s="2" t="s">
        <v>315</v>
      </c>
      <c r="M291" s="2">
        <v>46169</v>
      </c>
      <c r="N291" s="2">
        <v>46170</v>
      </c>
      <c r="P291" s="2">
        <v>46164</v>
      </c>
      <c r="Q291" s="2">
        <v>46177</v>
      </c>
      <c r="R291" s="2">
        <v>46199</v>
      </c>
      <c r="S291" s="2">
        <v>46206</v>
      </c>
      <c r="T291" s="2">
        <v>46206</v>
      </c>
      <c r="U291" s="1">
        <v>1</v>
      </c>
      <c r="Y291" s="1">
        <f t="shared" si="89"/>
        <v>63</v>
      </c>
      <c r="Z291" s="1">
        <f t="shared" si="90"/>
        <v>15</v>
      </c>
    </row>
    <row r="292" spans="1:26" x14ac:dyDescent="0.3">
      <c r="A292" s="1">
        <v>26100</v>
      </c>
      <c r="B292" s="1" t="s">
        <v>264</v>
      </c>
      <c r="C292" s="3" t="s">
        <v>405</v>
      </c>
      <c r="D292" s="4">
        <v>3300</v>
      </c>
      <c r="E292" s="24">
        <f>_xlfn.XLOOKUP(A292,[1]PONCEBLANC!$Q:$Q,[1]PONCEBLANC!$J:$J,100,0)</f>
        <v>100</v>
      </c>
      <c r="G292" s="2" t="s">
        <v>450</v>
      </c>
      <c r="Y292" s="1" t="str">
        <f t="shared" si="89"/>
        <v>DATE MANQUANTE</v>
      </c>
      <c r="Z292" s="1" t="str">
        <f t="shared" si="90"/>
        <v>DATE MANQUANTE</v>
      </c>
    </row>
    <row r="293" spans="1:26" x14ac:dyDescent="0.3">
      <c r="A293" s="1">
        <v>26101</v>
      </c>
      <c r="E293" s="24">
        <f>_xlfn.XLOOKUP(A293,[1]PONCEBLANC!$Q:$Q,[1]PONCEBLANC!$J:$J,100,0)</f>
        <v>6540.0000000000009</v>
      </c>
      <c r="G293" s="2">
        <v>46070</v>
      </c>
      <c r="Y293" s="1" t="str">
        <f t="shared" si="89"/>
        <v>DATE MANQUANTE</v>
      </c>
      <c r="Z293" s="1" t="str">
        <f t="shared" si="90"/>
        <v>DATE MANQUANTE</v>
      </c>
    </row>
    <row r="294" spans="1:26" x14ac:dyDescent="0.3">
      <c r="A294" s="1">
        <v>26102</v>
      </c>
      <c r="E294" s="24">
        <f>_xlfn.XLOOKUP(A294,[1]PONCEBLANC!$Q:$Q,[1]PONCEBLANC!$J:$J,100,0)</f>
        <v>100</v>
      </c>
      <c r="G294" s="2" t="s">
        <v>450</v>
      </c>
      <c r="Y294" s="1" t="str">
        <f t="shared" si="89"/>
        <v>DATE MANQUANTE</v>
      </c>
      <c r="Z294" s="1" t="str">
        <f t="shared" si="90"/>
        <v>DATE MANQUANTE</v>
      </c>
    </row>
    <row r="295" spans="1:26" x14ac:dyDescent="0.3">
      <c r="A295" s="1">
        <v>26103</v>
      </c>
      <c r="B295" s="1" t="s">
        <v>17</v>
      </c>
      <c r="C295" s="3" t="s">
        <v>432</v>
      </c>
      <c r="D295" s="4">
        <v>3000</v>
      </c>
      <c r="E295" s="24">
        <f>_xlfn.XLOOKUP(A295,[1]PONCEBLANC!$Q:$Q,[1]PONCEBLANC!$J:$J,100,0)</f>
        <v>13350</v>
      </c>
      <c r="F295" s="2" t="s">
        <v>128</v>
      </c>
      <c r="G295" s="2">
        <v>46122</v>
      </c>
      <c r="H295" s="2">
        <v>46148</v>
      </c>
      <c r="I295" s="2">
        <v>46150</v>
      </c>
      <c r="J295" s="2">
        <v>46181</v>
      </c>
      <c r="K295" s="2">
        <v>46153</v>
      </c>
      <c r="L295" s="2" t="s">
        <v>315</v>
      </c>
      <c r="N295" s="2">
        <v>46171</v>
      </c>
      <c r="P295" s="2">
        <v>46178</v>
      </c>
      <c r="Q295" s="2">
        <v>46177</v>
      </c>
      <c r="R295" s="2">
        <v>46199</v>
      </c>
      <c r="S295" s="2">
        <v>46199</v>
      </c>
      <c r="T295" s="2">
        <v>46199</v>
      </c>
      <c r="U295" s="1">
        <v>1</v>
      </c>
      <c r="Y295" s="1">
        <f t="shared" si="89"/>
        <v>55</v>
      </c>
      <c r="Z295" s="1">
        <f t="shared" si="90"/>
        <v>18</v>
      </c>
    </row>
    <row r="296" spans="1:26" x14ac:dyDescent="0.3">
      <c r="A296" s="1">
        <v>26104</v>
      </c>
      <c r="B296" s="1" t="s">
        <v>97</v>
      </c>
      <c r="C296" s="3" t="s">
        <v>433</v>
      </c>
      <c r="D296" s="4">
        <v>7000</v>
      </c>
      <c r="E296" s="24">
        <f>_xlfn.XLOOKUP(A296,[1]PONCEBLANC!$Q:$Q,[1]PONCEBLANC!$J:$J,100,0)</f>
        <v>10500</v>
      </c>
      <c r="G296" s="2">
        <v>46080</v>
      </c>
      <c r="H296" s="2">
        <v>46148</v>
      </c>
      <c r="I296" s="2">
        <v>46147</v>
      </c>
      <c r="J296" s="2">
        <v>46161</v>
      </c>
      <c r="K296" s="2">
        <v>46155</v>
      </c>
      <c r="L296" s="2">
        <v>46168</v>
      </c>
      <c r="M296" s="2">
        <v>46169</v>
      </c>
      <c r="N296" s="2">
        <v>46177</v>
      </c>
      <c r="P296" s="2">
        <v>46178</v>
      </c>
      <c r="Q296" s="2">
        <v>46184</v>
      </c>
      <c r="R296" s="2">
        <v>46206</v>
      </c>
      <c r="S296" s="2">
        <v>46199</v>
      </c>
      <c r="T296" s="2">
        <v>46199</v>
      </c>
      <c r="U296" s="1">
        <v>1</v>
      </c>
      <c r="Y296" s="1">
        <f t="shared" si="89"/>
        <v>85</v>
      </c>
      <c r="Z296" s="1">
        <f t="shared" si="90"/>
        <v>48</v>
      </c>
    </row>
    <row r="297" spans="1:26" x14ac:dyDescent="0.3">
      <c r="A297" s="1">
        <v>26105</v>
      </c>
      <c r="B297" s="1" t="s">
        <v>441</v>
      </c>
      <c r="C297" s="3" t="s">
        <v>442</v>
      </c>
      <c r="D297" s="4">
        <v>2000</v>
      </c>
      <c r="E297" s="24">
        <f>_xlfn.XLOOKUP(A297,[1]PONCEBLANC!$Q:$Q,[1]PONCEBLANC!$J:$J,100,0)</f>
        <v>16750</v>
      </c>
      <c r="F297" s="2" t="s">
        <v>128</v>
      </c>
      <c r="G297" s="2">
        <v>45827</v>
      </c>
      <c r="H297" s="2">
        <v>46148</v>
      </c>
      <c r="I297" s="2">
        <v>46149</v>
      </c>
      <c r="J297" s="2">
        <v>46237</v>
      </c>
      <c r="K297" s="2">
        <v>46163</v>
      </c>
      <c r="L297" s="2">
        <v>46148</v>
      </c>
      <c r="N297" s="2">
        <v>46198</v>
      </c>
      <c r="R297" s="2">
        <v>46238</v>
      </c>
      <c r="S297" s="2">
        <v>46262</v>
      </c>
      <c r="T297" s="2">
        <v>46262</v>
      </c>
      <c r="U297" s="1">
        <v>1</v>
      </c>
      <c r="Y297" s="1">
        <f t="shared" si="89"/>
        <v>311</v>
      </c>
      <c r="Z297" s="1">
        <f t="shared" si="90"/>
        <v>229</v>
      </c>
    </row>
    <row r="298" spans="1:26" x14ac:dyDescent="0.3">
      <c r="A298" s="1">
        <v>26106</v>
      </c>
      <c r="E298" s="24">
        <f>_xlfn.XLOOKUP(A298,[1]PONCEBLANC!$Q:$Q,[1]PONCEBLANC!$J:$J,100,0)</f>
        <v>9975</v>
      </c>
      <c r="G298" s="2">
        <v>45929</v>
      </c>
      <c r="Y298" s="1" t="str">
        <f t="shared" si="89"/>
        <v>DATE MANQUANTE</v>
      </c>
      <c r="Z298" s="1" t="str">
        <f t="shared" si="90"/>
        <v>DATE MANQUANTE</v>
      </c>
    </row>
    <row r="299" spans="1:26" x14ac:dyDescent="0.3">
      <c r="A299" s="1">
        <v>26107</v>
      </c>
      <c r="B299" s="1" t="s">
        <v>418</v>
      </c>
      <c r="C299" s="3" t="s">
        <v>443</v>
      </c>
      <c r="D299" s="4">
        <v>4000</v>
      </c>
      <c r="E299" s="24">
        <f>_xlfn.XLOOKUP(A299,[1]PONCEBLANC!$Q:$Q,[1]PONCEBLANC!$J:$J,100,0)</f>
        <v>15360</v>
      </c>
      <c r="G299" s="2">
        <v>46140</v>
      </c>
      <c r="H299" s="2">
        <v>46227</v>
      </c>
      <c r="N299" s="2">
        <v>46232</v>
      </c>
      <c r="R299" s="2">
        <v>46238</v>
      </c>
      <c r="S299" s="2">
        <v>46255</v>
      </c>
      <c r="T299" s="2">
        <v>46255</v>
      </c>
      <c r="U299" s="1">
        <v>1</v>
      </c>
      <c r="Y299" s="1">
        <f t="shared" si="89"/>
        <v>83</v>
      </c>
      <c r="Z299" s="1">
        <f t="shared" si="90"/>
        <v>63</v>
      </c>
    </row>
    <row r="300" spans="1:26" x14ac:dyDescent="0.3">
      <c r="A300" s="1">
        <v>26108</v>
      </c>
      <c r="E300" s="24">
        <f>_xlfn.XLOOKUP(A300,[1]PONCEBLANC!$Q:$Q,[1]PONCEBLANC!$J:$J,100,0)</f>
        <v>100</v>
      </c>
      <c r="G300" s="2" t="s">
        <v>450</v>
      </c>
      <c r="Y300" s="1" t="str">
        <f t="shared" si="89"/>
        <v>DATE MANQUANTE</v>
      </c>
      <c r="Z300" s="1" t="str">
        <f t="shared" si="90"/>
        <v>DATE MANQUANTE</v>
      </c>
    </row>
    <row r="301" spans="1:26" x14ac:dyDescent="0.3">
      <c r="A301" s="1">
        <v>26109</v>
      </c>
      <c r="E301" s="24">
        <f>_xlfn.XLOOKUP(A301,[1]PONCEBLANC!$Q:$Q,[1]PONCEBLANC!$J:$J,100,0)</f>
        <v>37200</v>
      </c>
      <c r="G301" s="2">
        <v>46098</v>
      </c>
      <c r="Y301" s="1" t="str">
        <f t="shared" si="89"/>
        <v>DATE MANQUANTE</v>
      </c>
      <c r="Z301" s="1" t="str">
        <f t="shared" si="90"/>
        <v>DATE MANQUANTE</v>
      </c>
    </row>
    <row r="302" spans="1:26" x14ac:dyDescent="0.3">
      <c r="A302" s="1">
        <v>26110</v>
      </c>
      <c r="E302" s="24">
        <f>_xlfn.XLOOKUP(A302,[1]PONCEBLANC!$Q:$Q,[1]PONCEBLANC!$J:$J,100,0)</f>
        <v>3562.5</v>
      </c>
      <c r="G302" s="2">
        <v>46092</v>
      </c>
      <c r="Y302" s="1" t="str">
        <f t="shared" si="89"/>
        <v>DATE MANQUANTE</v>
      </c>
      <c r="Z302" s="1" t="str">
        <f t="shared" si="90"/>
        <v>DATE MANQUANTE</v>
      </c>
    </row>
    <row r="303" spans="1:26" x14ac:dyDescent="0.3">
      <c r="A303" s="1">
        <v>26111</v>
      </c>
      <c r="E303" s="24">
        <f>_xlfn.XLOOKUP(A303,[1]PONCEBLANC!$Q:$Q,[1]PONCEBLANC!$J:$J,100,0)</f>
        <v>12989.9</v>
      </c>
      <c r="G303" s="2">
        <v>46127</v>
      </c>
      <c r="Y303" s="1" t="str">
        <f t="shared" si="89"/>
        <v>DATE MANQUANTE</v>
      </c>
      <c r="Z303" s="1" t="str">
        <f t="shared" si="90"/>
        <v>DATE MANQUANTE</v>
      </c>
    </row>
    <row r="304" spans="1:26" x14ac:dyDescent="0.3">
      <c r="A304" s="1">
        <v>26112</v>
      </c>
      <c r="E304" s="24">
        <f>_xlfn.XLOOKUP(A304,[1]PONCEBLANC!$Q:$Q,[1]PONCEBLANC!$J:$J,100,0)</f>
        <v>87114.049999999988</v>
      </c>
      <c r="G304" s="2">
        <v>46139</v>
      </c>
      <c r="Y304" s="1" t="str">
        <f t="shared" si="89"/>
        <v>DATE MANQUANTE</v>
      </c>
      <c r="Z304" s="1" t="str">
        <f t="shared" si="90"/>
        <v>DATE MANQUANTE</v>
      </c>
    </row>
    <row r="305" spans="1:26" x14ac:dyDescent="0.3">
      <c r="A305" s="1">
        <v>26113</v>
      </c>
      <c r="E305" s="24">
        <f>_xlfn.XLOOKUP(A305,[1]PONCEBLANC!$Q:$Q,[1]PONCEBLANC!$J:$J,100,0)</f>
        <v>82897.099999999991</v>
      </c>
      <c r="G305" s="2">
        <v>46139</v>
      </c>
      <c r="Y305" s="1" t="str">
        <f t="shared" si="89"/>
        <v>DATE MANQUANTE</v>
      </c>
      <c r="Z305" s="1" t="str">
        <f t="shared" si="90"/>
        <v>DATE MANQUANTE</v>
      </c>
    </row>
    <row r="306" spans="1:26" x14ac:dyDescent="0.3">
      <c r="A306" s="1">
        <v>26114</v>
      </c>
      <c r="B306" s="1" t="s">
        <v>444</v>
      </c>
      <c r="C306" s="3" t="s">
        <v>445</v>
      </c>
      <c r="D306" s="4">
        <v>3000</v>
      </c>
      <c r="E306" s="24">
        <f>_xlfn.XLOOKUP(A306,[1]PONCEBLANC!$Q:$Q,[1]PONCEBLANC!$J:$J,100,0)</f>
        <v>26970</v>
      </c>
      <c r="F306" s="2" t="s">
        <v>397</v>
      </c>
      <c r="G306" s="2">
        <v>46134</v>
      </c>
      <c r="H306" s="2">
        <v>46148</v>
      </c>
      <c r="I306" s="2">
        <v>46153</v>
      </c>
      <c r="J306" s="2">
        <v>46174</v>
      </c>
      <c r="K306" s="2">
        <v>46188</v>
      </c>
      <c r="L306" s="2">
        <v>46192</v>
      </c>
      <c r="N306" s="2">
        <v>46202</v>
      </c>
      <c r="O306" s="2">
        <v>46177</v>
      </c>
      <c r="Q306" s="2">
        <v>46234</v>
      </c>
      <c r="R306" s="2">
        <v>46238</v>
      </c>
      <c r="S306" s="2">
        <v>46262</v>
      </c>
      <c r="T306" s="2">
        <v>46262</v>
      </c>
      <c r="U306" s="1">
        <v>2</v>
      </c>
      <c r="Y306" s="1">
        <f t="shared" si="89"/>
        <v>92</v>
      </c>
      <c r="Z306" s="1">
        <f t="shared" si="90"/>
        <v>10</v>
      </c>
    </row>
    <row r="307" spans="1:26" x14ac:dyDescent="0.3">
      <c r="A307" s="1">
        <v>26115</v>
      </c>
      <c r="B307" s="1" t="s">
        <v>62</v>
      </c>
      <c r="C307" s="3" t="s">
        <v>434</v>
      </c>
      <c r="D307" s="4">
        <v>3100</v>
      </c>
      <c r="E307" s="24">
        <f>_xlfn.XLOOKUP(A307,[1]PONCEBLANC!$Q:$Q,[1]PONCEBLANC!$J:$J,100,0)</f>
        <v>12167.5</v>
      </c>
      <c r="G307" s="2">
        <v>46153</v>
      </c>
      <c r="H307" s="2">
        <v>46160</v>
      </c>
      <c r="I307" s="2" t="s">
        <v>199</v>
      </c>
      <c r="J307" s="2" t="s">
        <v>199</v>
      </c>
      <c r="K307" s="2">
        <v>46170</v>
      </c>
      <c r="L307" s="2">
        <v>46170</v>
      </c>
      <c r="M307" s="2" t="s">
        <v>199</v>
      </c>
      <c r="N307" s="2">
        <v>46177</v>
      </c>
      <c r="O307" s="2">
        <v>46177</v>
      </c>
      <c r="P307" s="2" t="s">
        <v>199</v>
      </c>
      <c r="Q307" s="2">
        <v>46184</v>
      </c>
      <c r="R307" s="2">
        <v>46206</v>
      </c>
      <c r="S307" s="2">
        <v>46199</v>
      </c>
      <c r="T307" s="2">
        <v>46199</v>
      </c>
      <c r="U307" s="1">
        <v>1</v>
      </c>
      <c r="Y307" s="1">
        <f t="shared" si="89"/>
        <v>34</v>
      </c>
      <c r="Z307" s="1">
        <f t="shared" si="90"/>
        <v>5</v>
      </c>
    </row>
    <row r="308" spans="1:26" x14ac:dyDescent="0.3">
      <c r="A308" s="1">
        <v>26116</v>
      </c>
      <c r="E308" s="24">
        <f>_xlfn.XLOOKUP(A308,[1]PONCEBLANC!$Q:$Q,[1]PONCEBLANC!$J:$J,100,0)</f>
        <v>1983</v>
      </c>
      <c r="G308" s="2">
        <v>46155</v>
      </c>
      <c r="Y308" s="1" t="str">
        <f t="shared" si="89"/>
        <v>DATE MANQUANTE</v>
      </c>
      <c r="Z308" s="1" t="str">
        <f t="shared" si="90"/>
        <v>DATE MANQUANTE</v>
      </c>
    </row>
    <row r="309" spans="1:26" x14ac:dyDescent="0.3">
      <c r="A309" s="1">
        <v>26117</v>
      </c>
      <c r="E309" s="24">
        <f>_xlfn.XLOOKUP(A309,[1]PONCEBLANC!$Q:$Q,[1]PONCEBLANC!$J:$J,100,0)</f>
        <v>85491</v>
      </c>
      <c r="G309" s="2">
        <v>46161</v>
      </c>
      <c r="Y309" s="1" t="str">
        <f t="shared" si="89"/>
        <v>DATE MANQUANTE</v>
      </c>
      <c r="Z309" s="1" t="str">
        <f t="shared" si="90"/>
        <v>DATE MANQUANTE</v>
      </c>
    </row>
    <row r="310" spans="1:26" x14ac:dyDescent="0.3">
      <c r="A310" s="1">
        <v>26118</v>
      </c>
      <c r="E310" s="24">
        <f>_xlfn.XLOOKUP(A310,[1]PONCEBLANC!$Q:$Q,[1]PONCEBLANC!$J:$J,100,0)</f>
        <v>3206</v>
      </c>
      <c r="G310" s="2">
        <v>46161</v>
      </c>
      <c r="Y310" s="1" t="str">
        <f t="shared" si="89"/>
        <v>DATE MANQUANTE</v>
      </c>
      <c r="Z310" s="1" t="str">
        <f t="shared" si="90"/>
        <v>DATE MANQUANTE</v>
      </c>
    </row>
    <row r="311" spans="1:26" x14ac:dyDescent="0.3">
      <c r="A311" s="1">
        <v>26119</v>
      </c>
      <c r="E311" s="24">
        <f>_xlfn.XLOOKUP(A311,[1]PONCEBLANC!$Q:$Q,[1]PONCEBLANC!$J:$J,100,0)</f>
        <v>2387</v>
      </c>
      <c r="G311" s="2">
        <v>46161</v>
      </c>
      <c r="Y311" s="1" t="str">
        <f t="shared" si="89"/>
        <v>DATE MANQUANTE</v>
      </c>
      <c r="Z311" s="1" t="str">
        <f t="shared" si="90"/>
        <v>DATE MANQUANTE</v>
      </c>
    </row>
    <row r="312" spans="1:26" x14ac:dyDescent="0.3">
      <c r="A312" s="1">
        <v>26120</v>
      </c>
      <c r="E312" s="24">
        <f>_xlfn.XLOOKUP(A312,[1]PONCEBLANC!$Q:$Q,[1]PONCEBLANC!$J:$J,100,0)</f>
        <v>2835</v>
      </c>
      <c r="G312" s="2">
        <v>45713</v>
      </c>
      <c r="Y312" s="1" t="str">
        <f t="shared" si="89"/>
        <v>DATE MANQUANTE</v>
      </c>
      <c r="Z312" s="1" t="str">
        <f t="shared" si="90"/>
        <v>DATE MANQUANTE</v>
      </c>
    </row>
    <row r="313" spans="1:26" x14ac:dyDescent="0.3">
      <c r="A313" s="1">
        <v>26121</v>
      </c>
      <c r="B313" s="1" t="s">
        <v>446</v>
      </c>
      <c r="C313" s="3" t="s">
        <v>447</v>
      </c>
      <c r="D313" s="4">
        <v>2000</v>
      </c>
      <c r="E313" s="24">
        <f>_xlfn.XLOOKUP(A313,[1]PONCEBLANC!$Q:$Q,[1]PONCEBLANC!$J:$J,100,0)</f>
        <v>19060</v>
      </c>
      <c r="F313" s="2" t="s">
        <v>397</v>
      </c>
      <c r="G313" s="2">
        <v>46064</v>
      </c>
      <c r="H313" s="2">
        <v>46168</v>
      </c>
      <c r="I313" s="2">
        <v>46168</v>
      </c>
      <c r="J313" s="2">
        <v>46204</v>
      </c>
      <c r="K313" s="2">
        <v>46192</v>
      </c>
      <c r="L313" s="2">
        <v>46190</v>
      </c>
      <c r="N313" s="2">
        <v>46203</v>
      </c>
      <c r="O313" s="2">
        <v>46209</v>
      </c>
      <c r="P313" s="2">
        <v>46206</v>
      </c>
      <c r="Q313" s="2">
        <v>46205</v>
      </c>
      <c r="R313" s="2">
        <v>46262</v>
      </c>
      <c r="S313" s="2">
        <v>46262</v>
      </c>
      <c r="T313" s="2">
        <v>46262</v>
      </c>
      <c r="U313" s="1">
        <v>1</v>
      </c>
      <c r="Y313" s="1">
        <f t="shared" si="89"/>
        <v>142</v>
      </c>
      <c r="Z313" s="1">
        <f t="shared" si="90"/>
        <v>74</v>
      </c>
    </row>
    <row r="314" spans="1:26" x14ac:dyDescent="0.3">
      <c r="A314" s="1">
        <v>26122</v>
      </c>
      <c r="E314" s="24">
        <f>_xlfn.XLOOKUP(A314,[1]PONCEBLANC!$Q:$Q,[1]PONCEBLANC!$J:$J,100,0)</f>
        <v>15960</v>
      </c>
      <c r="G314" s="2">
        <v>46155</v>
      </c>
      <c r="Y314" s="1" t="str">
        <f t="shared" si="89"/>
        <v>DATE MANQUANTE</v>
      </c>
      <c r="Z314" s="1" t="str">
        <f t="shared" si="90"/>
        <v>DATE MANQUANTE</v>
      </c>
    </row>
    <row r="315" spans="1:26" x14ac:dyDescent="0.3">
      <c r="A315" s="1">
        <v>26123</v>
      </c>
      <c r="E315" s="24">
        <f>_xlfn.XLOOKUP(A315,[1]PONCEBLANC!$Q:$Q,[1]PONCEBLANC!$J:$J,100,0)</f>
        <v>6880</v>
      </c>
      <c r="G315" s="2">
        <v>46070</v>
      </c>
      <c r="Y315" s="1" t="str">
        <f t="shared" si="89"/>
        <v>DATE MANQUANTE</v>
      </c>
      <c r="Z315" s="1" t="str">
        <f t="shared" si="90"/>
        <v>DATE MANQUANTE</v>
      </c>
    </row>
    <row r="316" spans="1:26" x14ac:dyDescent="0.3">
      <c r="A316" s="1">
        <v>26124</v>
      </c>
      <c r="E316" s="24">
        <f>_xlfn.XLOOKUP(A316,[1]PONCEBLANC!$Q:$Q,[1]PONCEBLANC!$J:$J,100,0)</f>
        <v>17900</v>
      </c>
      <c r="G316" s="2">
        <v>46161</v>
      </c>
      <c r="Y316" s="1" t="str">
        <f t="shared" si="89"/>
        <v>DATE MANQUANTE</v>
      </c>
      <c r="Z316" s="1" t="str">
        <f t="shared" si="90"/>
        <v>DATE MANQUANTE</v>
      </c>
    </row>
    <row r="317" spans="1:26" x14ac:dyDescent="0.3">
      <c r="A317" s="1">
        <v>26125</v>
      </c>
      <c r="B317" s="1" t="s">
        <v>51</v>
      </c>
      <c r="C317" s="3" t="s">
        <v>448</v>
      </c>
      <c r="D317" s="4">
        <v>1300</v>
      </c>
      <c r="E317" s="24">
        <f>_xlfn.XLOOKUP(A317,[1]PONCEBLANC!$Q:$Q,[1]PONCEBLANC!$J:$J,100,0)</f>
        <v>9126</v>
      </c>
      <c r="F317" s="2" t="s">
        <v>397</v>
      </c>
      <c r="G317" s="2">
        <v>46161</v>
      </c>
      <c r="H317" s="2">
        <v>46169</v>
      </c>
      <c r="I317" s="2">
        <v>46169</v>
      </c>
      <c r="J317" s="2">
        <v>46176</v>
      </c>
      <c r="K317" s="2">
        <v>46203</v>
      </c>
      <c r="L317" s="2">
        <v>46191</v>
      </c>
      <c r="N317" s="2">
        <v>46224</v>
      </c>
      <c r="O317" s="2">
        <v>46209</v>
      </c>
      <c r="P317" s="2">
        <v>46213</v>
      </c>
      <c r="Q317" s="2">
        <v>46241</v>
      </c>
      <c r="R317" s="2">
        <v>46255</v>
      </c>
      <c r="S317" s="2">
        <v>46255</v>
      </c>
      <c r="T317" s="2">
        <v>46255</v>
      </c>
      <c r="U317" s="1">
        <v>1</v>
      </c>
      <c r="Y317" s="1">
        <f t="shared" si="89"/>
        <v>68</v>
      </c>
      <c r="Z317" s="1">
        <f t="shared" si="90"/>
        <v>6</v>
      </c>
    </row>
  </sheetData>
  <autoFilter ref="A1:AR317" xr:uid="{190F9780-89AB-46EF-A444-DE15B57A012F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EF12-49B5-4966-8B56-D2FBA1216C7F}">
  <dimension ref="A1:D162"/>
  <sheetViews>
    <sheetView workbookViewId="0">
      <selection activeCell="E8" sqref="E8"/>
    </sheetView>
  </sheetViews>
  <sheetFormatPr baseColWidth="10" defaultRowHeight="14.4" x14ac:dyDescent="0.3"/>
  <sheetData>
    <row r="1" spans="1:4" x14ac:dyDescent="0.3">
      <c r="A1" s="11" t="s">
        <v>0</v>
      </c>
      <c r="B1" s="14" t="s">
        <v>375</v>
      </c>
      <c r="C1" s="14" t="s">
        <v>381</v>
      </c>
      <c r="D1" t="s">
        <v>395</v>
      </c>
    </row>
    <row r="2" spans="1:4" x14ac:dyDescent="0.3">
      <c r="A2" s="1">
        <v>25186</v>
      </c>
      <c r="B2" s="2">
        <v>45680</v>
      </c>
      <c r="C2" s="2">
        <v>46073</v>
      </c>
      <c r="D2">
        <f t="shared" ref="D2:D33" si="0">C2-B2</f>
        <v>393</v>
      </c>
    </row>
    <row r="3" spans="1:4" x14ac:dyDescent="0.3">
      <c r="A3" s="1">
        <v>25195</v>
      </c>
      <c r="B3" s="2">
        <v>45666</v>
      </c>
      <c r="C3" s="2">
        <v>46052</v>
      </c>
      <c r="D3">
        <f t="shared" si="0"/>
        <v>386</v>
      </c>
    </row>
    <row r="4" spans="1:4" x14ac:dyDescent="0.3">
      <c r="A4" s="1">
        <v>25192</v>
      </c>
      <c r="B4" s="2">
        <v>45673</v>
      </c>
      <c r="C4" s="2">
        <v>46045</v>
      </c>
      <c r="D4">
        <f t="shared" si="0"/>
        <v>372</v>
      </c>
    </row>
    <row r="5" spans="1:4" x14ac:dyDescent="0.3">
      <c r="A5" s="1">
        <v>25193</v>
      </c>
      <c r="B5" s="2">
        <v>45672</v>
      </c>
      <c r="C5" s="2">
        <v>46038</v>
      </c>
      <c r="D5">
        <f t="shared" si="0"/>
        <v>366</v>
      </c>
    </row>
    <row r="6" spans="1:4" x14ac:dyDescent="0.3">
      <c r="A6" s="1">
        <v>26006</v>
      </c>
      <c r="B6" s="2">
        <v>46087</v>
      </c>
      <c r="C6" s="2">
        <v>46154</v>
      </c>
      <c r="D6">
        <f t="shared" si="0"/>
        <v>67</v>
      </c>
    </row>
    <row r="7" spans="1:4" x14ac:dyDescent="0.3">
      <c r="A7" s="1">
        <v>25162</v>
      </c>
      <c r="B7" s="2">
        <v>45933</v>
      </c>
      <c r="C7" s="2">
        <v>45982</v>
      </c>
      <c r="D7">
        <f t="shared" si="0"/>
        <v>49</v>
      </c>
    </row>
    <row r="8" spans="1:4" x14ac:dyDescent="0.3">
      <c r="A8" s="1">
        <v>25201</v>
      </c>
      <c r="B8" s="2">
        <v>46022</v>
      </c>
      <c r="C8" s="2">
        <v>46045</v>
      </c>
      <c r="D8">
        <f t="shared" si="0"/>
        <v>23</v>
      </c>
    </row>
    <row r="9" spans="1:4" x14ac:dyDescent="0.3">
      <c r="A9" s="1">
        <v>25167</v>
      </c>
      <c r="B9" s="2">
        <v>45968</v>
      </c>
      <c r="C9" s="2">
        <v>45982</v>
      </c>
      <c r="D9">
        <f t="shared" si="0"/>
        <v>14</v>
      </c>
    </row>
    <row r="10" spans="1:4" x14ac:dyDescent="0.3">
      <c r="A10" s="1">
        <v>25184</v>
      </c>
      <c r="B10" s="2">
        <v>46024</v>
      </c>
      <c r="C10" s="2">
        <v>46038</v>
      </c>
      <c r="D10">
        <f t="shared" si="0"/>
        <v>14</v>
      </c>
    </row>
    <row r="11" spans="1:4" x14ac:dyDescent="0.3">
      <c r="A11" s="1">
        <v>26030</v>
      </c>
      <c r="B11" s="2">
        <v>46136</v>
      </c>
      <c r="C11" s="2">
        <v>46150</v>
      </c>
      <c r="D11">
        <f t="shared" si="0"/>
        <v>14</v>
      </c>
    </row>
    <row r="12" spans="1:4" x14ac:dyDescent="0.3">
      <c r="A12" s="1">
        <v>25063</v>
      </c>
      <c r="B12" s="2">
        <v>45947</v>
      </c>
      <c r="C12" s="2">
        <v>45954</v>
      </c>
      <c r="D12">
        <f t="shared" si="0"/>
        <v>7</v>
      </c>
    </row>
    <row r="13" spans="1:4" x14ac:dyDescent="0.3">
      <c r="A13" s="1">
        <v>25072</v>
      </c>
      <c r="B13" s="2">
        <v>45947</v>
      </c>
      <c r="C13" s="2">
        <v>45954</v>
      </c>
      <c r="D13">
        <f t="shared" si="0"/>
        <v>7</v>
      </c>
    </row>
    <row r="14" spans="1:4" x14ac:dyDescent="0.3">
      <c r="A14" s="1">
        <v>25073</v>
      </c>
      <c r="B14" s="2">
        <v>45968</v>
      </c>
      <c r="C14" s="2">
        <v>45975</v>
      </c>
      <c r="D14">
        <f t="shared" si="0"/>
        <v>7</v>
      </c>
    </row>
    <row r="15" spans="1:4" x14ac:dyDescent="0.3">
      <c r="A15" s="1">
        <v>25075</v>
      </c>
      <c r="B15" s="2">
        <v>45920</v>
      </c>
      <c r="C15" s="2">
        <v>45927</v>
      </c>
      <c r="D15">
        <f t="shared" si="0"/>
        <v>7</v>
      </c>
    </row>
    <row r="16" spans="1:4" x14ac:dyDescent="0.3">
      <c r="A16" s="1">
        <v>25093</v>
      </c>
      <c r="B16" s="2">
        <v>45933</v>
      </c>
      <c r="C16" s="2">
        <v>45940</v>
      </c>
      <c r="D16">
        <f t="shared" si="0"/>
        <v>7</v>
      </c>
    </row>
    <row r="17" spans="1:4" x14ac:dyDescent="0.3">
      <c r="A17" s="1">
        <v>25104</v>
      </c>
      <c r="B17" s="2">
        <v>45891</v>
      </c>
      <c r="C17" s="2">
        <v>45898</v>
      </c>
      <c r="D17">
        <f t="shared" si="0"/>
        <v>7</v>
      </c>
    </row>
    <row r="18" spans="1:4" x14ac:dyDescent="0.3">
      <c r="A18" s="1">
        <v>25142</v>
      </c>
      <c r="B18" s="2">
        <v>45961</v>
      </c>
      <c r="C18" s="2">
        <v>45968</v>
      </c>
      <c r="D18">
        <f t="shared" si="0"/>
        <v>7</v>
      </c>
    </row>
    <row r="19" spans="1:4" x14ac:dyDescent="0.3">
      <c r="A19" s="1">
        <v>25163</v>
      </c>
      <c r="B19" s="2">
        <v>45989</v>
      </c>
      <c r="C19" s="2">
        <v>45996</v>
      </c>
      <c r="D19">
        <f t="shared" si="0"/>
        <v>7</v>
      </c>
    </row>
    <row r="20" spans="1:4" x14ac:dyDescent="0.3">
      <c r="A20" s="1">
        <v>25180</v>
      </c>
      <c r="B20" s="2">
        <v>46045</v>
      </c>
      <c r="C20" s="2">
        <v>46052</v>
      </c>
      <c r="D20">
        <f t="shared" si="0"/>
        <v>7</v>
      </c>
    </row>
    <row r="21" spans="1:4" x14ac:dyDescent="0.3">
      <c r="A21" s="1">
        <v>25183</v>
      </c>
      <c r="B21" s="2">
        <v>46024</v>
      </c>
      <c r="C21" s="2">
        <v>46031</v>
      </c>
      <c r="D21">
        <f t="shared" si="0"/>
        <v>7</v>
      </c>
    </row>
    <row r="22" spans="1:4" x14ac:dyDescent="0.3">
      <c r="A22" s="1">
        <v>25197</v>
      </c>
      <c r="B22" s="2">
        <v>46108</v>
      </c>
      <c r="C22" s="2">
        <v>46115</v>
      </c>
      <c r="D22">
        <f t="shared" si="0"/>
        <v>7</v>
      </c>
    </row>
    <row r="23" spans="1:4" x14ac:dyDescent="0.3">
      <c r="A23" s="1">
        <v>25199</v>
      </c>
      <c r="B23" s="2">
        <v>46087</v>
      </c>
      <c r="C23" s="2">
        <v>46094</v>
      </c>
      <c r="D23">
        <f t="shared" si="0"/>
        <v>7</v>
      </c>
    </row>
    <row r="24" spans="1:4" x14ac:dyDescent="0.3">
      <c r="A24" s="1">
        <v>25229</v>
      </c>
      <c r="B24" s="2">
        <v>46052</v>
      </c>
      <c r="C24" s="2">
        <v>46059</v>
      </c>
      <c r="D24">
        <f t="shared" si="0"/>
        <v>7</v>
      </c>
    </row>
    <row r="25" spans="1:4" x14ac:dyDescent="0.3">
      <c r="A25" s="1">
        <v>25236</v>
      </c>
      <c r="B25" s="2">
        <v>46122</v>
      </c>
      <c r="C25" s="2">
        <v>46129</v>
      </c>
      <c r="D25">
        <f t="shared" si="0"/>
        <v>7</v>
      </c>
    </row>
    <row r="26" spans="1:4" x14ac:dyDescent="0.3">
      <c r="A26" s="1">
        <v>25253</v>
      </c>
      <c r="B26" s="2">
        <v>46094</v>
      </c>
      <c r="C26" s="2">
        <v>46101</v>
      </c>
      <c r="D26">
        <f t="shared" si="0"/>
        <v>7</v>
      </c>
    </row>
    <row r="27" spans="1:4" x14ac:dyDescent="0.3">
      <c r="A27" s="1">
        <v>26034</v>
      </c>
      <c r="B27" s="2">
        <v>46164</v>
      </c>
      <c r="C27" s="2">
        <v>46171</v>
      </c>
      <c r="D27">
        <f t="shared" si="0"/>
        <v>7</v>
      </c>
    </row>
    <row r="28" spans="1:4" x14ac:dyDescent="0.3">
      <c r="A28" s="1">
        <v>25196</v>
      </c>
      <c r="B28" s="2">
        <v>46017</v>
      </c>
      <c r="C28" s="2">
        <v>46021</v>
      </c>
      <c r="D28">
        <f t="shared" si="0"/>
        <v>4</v>
      </c>
    </row>
    <row r="29" spans="1:4" x14ac:dyDescent="0.3">
      <c r="A29" s="1">
        <v>26003</v>
      </c>
      <c r="B29" s="2">
        <v>46079</v>
      </c>
      <c r="C29" s="2">
        <v>46080</v>
      </c>
      <c r="D29">
        <f t="shared" si="0"/>
        <v>1</v>
      </c>
    </row>
    <row r="30" spans="1:4" x14ac:dyDescent="0.3">
      <c r="A30" s="1">
        <v>24168</v>
      </c>
      <c r="B30" s="2">
        <v>46003</v>
      </c>
      <c r="C30" s="2">
        <v>46003</v>
      </c>
      <c r="D30">
        <f t="shared" si="0"/>
        <v>0</v>
      </c>
    </row>
    <row r="31" spans="1:4" x14ac:dyDescent="0.3">
      <c r="A31" s="1">
        <v>25022</v>
      </c>
      <c r="B31" s="2">
        <v>45891</v>
      </c>
      <c r="C31" s="2">
        <v>45891</v>
      </c>
      <c r="D31">
        <f t="shared" si="0"/>
        <v>0</v>
      </c>
    </row>
    <row r="32" spans="1:4" x14ac:dyDescent="0.3">
      <c r="A32" s="1">
        <v>25030</v>
      </c>
      <c r="B32" s="2">
        <v>45912</v>
      </c>
      <c r="C32" s="2">
        <v>45912</v>
      </c>
      <c r="D32">
        <f t="shared" si="0"/>
        <v>0</v>
      </c>
    </row>
    <row r="33" spans="1:4" x14ac:dyDescent="0.3">
      <c r="A33" s="1">
        <v>25031</v>
      </c>
      <c r="B33" s="2">
        <v>45863</v>
      </c>
      <c r="C33" s="2">
        <v>45863</v>
      </c>
      <c r="D33">
        <f t="shared" si="0"/>
        <v>0</v>
      </c>
    </row>
    <row r="34" spans="1:4" x14ac:dyDescent="0.3">
      <c r="A34" s="1">
        <v>25032</v>
      </c>
      <c r="B34" s="2">
        <v>45926</v>
      </c>
      <c r="C34" s="2">
        <v>45926</v>
      </c>
      <c r="D34">
        <f t="shared" ref="D34:D65" si="1">C34-B34</f>
        <v>0</v>
      </c>
    </row>
    <row r="35" spans="1:4" x14ac:dyDescent="0.3">
      <c r="A35" s="1">
        <v>25034</v>
      </c>
      <c r="B35" s="2">
        <v>45926</v>
      </c>
      <c r="C35" s="2">
        <v>45926</v>
      </c>
      <c r="D35">
        <f t="shared" si="1"/>
        <v>0</v>
      </c>
    </row>
    <row r="36" spans="1:4" x14ac:dyDescent="0.3">
      <c r="A36" s="1">
        <v>25037</v>
      </c>
      <c r="B36" s="2">
        <v>45898</v>
      </c>
      <c r="C36" s="2">
        <v>45898</v>
      </c>
      <c r="D36">
        <f t="shared" si="1"/>
        <v>0</v>
      </c>
    </row>
    <row r="37" spans="1:4" x14ac:dyDescent="0.3">
      <c r="A37" s="1">
        <v>25040</v>
      </c>
      <c r="B37" s="2">
        <v>45856</v>
      </c>
      <c r="C37" s="2">
        <v>45856</v>
      </c>
      <c r="D37">
        <f t="shared" si="1"/>
        <v>0</v>
      </c>
    </row>
    <row r="38" spans="1:4" x14ac:dyDescent="0.3">
      <c r="A38" s="1">
        <v>25056</v>
      </c>
      <c r="B38" s="2">
        <v>45821</v>
      </c>
      <c r="C38" s="2">
        <v>45821</v>
      </c>
      <c r="D38">
        <f t="shared" si="1"/>
        <v>0</v>
      </c>
    </row>
    <row r="39" spans="1:4" x14ac:dyDescent="0.3">
      <c r="A39" s="1">
        <v>25066</v>
      </c>
      <c r="B39" s="2">
        <v>45849</v>
      </c>
      <c r="C39" s="2">
        <v>45849</v>
      </c>
      <c r="D39">
        <f t="shared" si="1"/>
        <v>0</v>
      </c>
    </row>
    <row r="40" spans="1:4" x14ac:dyDescent="0.3">
      <c r="A40" s="1">
        <v>25072</v>
      </c>
      <c r="B40" s="2">
        <v>45947</v>
      </c>
      <c r="C40" s="2">
        <v>45947</v>
      </c>
      <c r="D40">
        <f t="shared" si="1"/>
        <v>0</v>
      </c>
    </row>
    <row r="41" spans="1:4" x14ac:dyDescent="0.3">
      <c r="A41" s="1">
        <v>25072</v>
      </c>
      <c r="B41" s="2">
        <v>45947</v>
      </c>
      <c r="C41" s="2">
        <v>45947</v>
      </c>
      <c r="D41">
        <f t="shared" si="1"/>
        <v>0</v>
      </c>
    </row>
    <row r="42" spans="1:4" x14ac:dyDescent="0.3">
      <c r="A42" s="1">
        <v>25073</v>
      </c>
      <c r="B42" s="2">
        <v>45975</v>
      </c>
      <c r="C42" s="2">
        <v>45975</v>
      </c>
      <c r="D42">
        <f t="shared" si="1"/>
        <v>0</v>
      </c>
    </row>
    <row r="43" spans="1:4" x14ac:dyDescent="0.3">
      <c r="A43" s="1">
        <v>25086</v>
      </c>
      <c r="B43" s="2">
        <v>45919</v>
      </c>
      <c r="C43" s="2">
        <v>45919</v>
      </c>
      <c r="D43">
        <f t="shared" si="1"/>
        <v>0</v>
      </c>
    </row>
    <row r="44" spans="1:4" x14ac:dyDescent="0.3">
      <c r="A44" s="1">
        <v>25089</v>
      </c>
      <c r="B44" s="2">
        <v>45919</v>
      </c>
      <c r="C44" s="2">
        <v>45919</v>
      </c>
      <c r="D44">
        <f t="shared" si="1"/>
        <v>0</v>
      </c>
    </row>
    <row r="45" spans="1:4" x14ac:dyDescent="0.3">
      <c r="A45" s="1">
        <v>25091</v>
      </c>
      <c r="B45" s="2">
        <v>46010</v>
      </c>
      <c r="C45" s="2">
        <v>46010</v>
      </c>
      <c r="D45">
        <f t="shared" si="1"/>
        <v>0</v>
      </c>
    </row>
    <row r="46" spans="1:4" x14ac:dyDescent="0.3">
      <c r="A46" s="1">
        <v>25091</v>
      </c>
      <c r="B46" s="2">
        <v>46003</v>
      </c>
      <c r="C46" s="2">
        <v>46003</v>
      </c>
      <c r="D46">
        <f t="shared" si="1"/>
        <v>0</v>
      </c>
    </row>
    <row r="47" spans="1:4" x14ac:dyDescent="0.3">
      <c r="A47" s="1">
        <v>25092</v>
      </c>
      <c r="B47" s="2">
        <v>46045</v>
      </c>
      <c r="C47" s="2">
        <v>46045</v>
      </c>
      <c r="D47">
        <f t="shared" si="1"/>
        <v>0</v>
      </c>
    </row>
    <row r="48" spans="1:4" x14ac:dyDescent="0.3">
      <c r="A48" s="1">
        <v>25100</v>
      </c>
      <c r="B48" s="2">
        <v>45905</v>
      </c>
      <c r="C48" s="2">
        <v>45905</v>
      </c>
      <c r="D48">
        <f t="shared" si="1"/>
        <v>0</v>
      </c>
    </row>
    <row r="49" spans="1:4" x14ac:dyDescent="0.3">
      <c r="A49" s="1">
        <v>25103</v>
      </c>
      <c r="B49" s="2">
        <v>45898</v>
      </c>
      <c r="C49" s="2">
        <v>45898</v>
      </c>
      <c r="D49">
        <f t="shared" si="1"/>
        <v>0</v>
      </c>
    </row>
    <row r="50" spans="1:4" x14ac:dyDescent="0.3">
      <c r="A50" s="1">
        <v>25109</v>
      </c>
      <c r="B50" s="2">
        <v>45926</v>
      </c>
      <c r="C50" s="2">
        <v>45926</v>
      </c>
      <c r="D50">
        <f t="shared" si="1"/>
        <v>0</v>
      </c>
    </row>
    <row r="51" spans="1:4" x14ac:dyDescent="0.3">
      <c r="A51" s="1">
        <v>25110</v>
      </c>
      <c r="B51" s="2">
        <v>45933</v>
      </c>
      <c r="C51" s="2">
        <v>45933</v>
      </c>
      <c r="D51">
        <f t="shared" si="1"/>
        <v>0</v>
      </c>
    </row>
    <row r="52" spans="1:4" x14ac:dyDescent="0.3">
      <c r="A52" s="1">
        <v>25114</v>
      </c>
      <c r="B52" s="2">
        <v>45919</v>
      </c>
      <c r="C52" s="2">
        <v>45919</v>
      </c>
      <c r="D52">
        <f t="shared" si="1"/>
        <v>0</v>
      </c>
    </row>
    <row r="53" spans="1:4" x14ac:dyDescent="0.3">
      <c r="A53" s="1">
        <v>25115</v>
      </c>
      <c r="B53" s="2">
        <v>46080</v>
      </c>
      <c r="C53" s="2">
        <v>46080</v>
      </c>
      <c r="D53">
        <f t="shared" si="1"/>
        <v>0</v>
      </c>
    </row>
    <row r="54" spans="1:4" x14ac:dyDescent="0.3">
      <c r="A54" s="1">
        <v>25117</v>
      </c>
      <c r="B54" s="2">
        <v>45919</v>
      </c>
      <c r="C54" s="2">
        <v>45919</v>
      </c>
      <c r="D54">
        <f t="shared" si="1"/>
        <v>0</v>
      </c>
    </row>
    <row r="55" spans="1:4" x14ac:dyDescent="0.3">
      <c r="A55" s="1">
        <v>25121</v>
      </c>
      <c r="B55" s="2">
        <v>45954</v>
      </c>
      <c r="C55" s="2">
        <v>45954</v>
      </c>
      <c r="D55">
        <f t="shared" si="1"/>
        <v>0</v>
      </c>
    </row>
    <row r="56" spans="1:4" x14ac:dyDescent="0.3">
      <c r="A56" s="1">
        <v>25122</v>
      </c>
      <c r="B56" s="2">
        <v>45898</v>
      </c>
      <c r="C56" s="2">
        <v>45898</v>
      </c>
      <c r="D56">
        <f t="shared" si="1"/>
        <v>0</v>
      </c>
    </row>
    <row r="57" spans="1:4" x14ac:dyDescent="0.3">
      <c r="A57" s="1">
        <v>25123</v>
      </c>
      <c r="B57" s="2">
        <v>45919</v>
      </c>
      <c r="C57" s="2">
        <v>45919</v>
      </c>
      <c r="D57">
        <f t="shared" si="1"/>
        <v>0</v>
      </c>
    </row>
    <row r="58" spans="1:4" x14ac:dyDescent="0.3">
      <c r="A58" s="1">
        <v>25124</v>
      </c>
      <c r="B58" s="2">
        <v>45933</v>
      </c>
      <c r="C58" s="2">
        <v>45933</v>
      </c>
      <c r="D58">
        <f t="shared" si="1"/>
        <v>0</v>
      </c>
    </row>
    <row r="59" spans="1:4" x14ac:dyDescent="0.3">
      <c r="A59" s="1">
        <v>25124</v>
      </c>
      <c r="B59" s="2">
        <v>45926</v>
      </c>
      <c r="C59" s="2">
        <v>45926</v>
      </c>
      <c r="D59">
        <f t="shared" si="1"/>
        <v>0</v>
      </c>
    </row>
    <row r="60" spans="1:4" x14ac:dyDescent="0.3">
      <c r="A60" s="1">
        <v>25125</v>
      </c>
      <c r="B60" s="2">
        <v>45954</v>
      </c>
      <c r="C60" s="2">
        <v>45954</v>
      </c>
      <c r="D60">
        <f t="shared" si="1"/>
        <v>0</v>
      </c>
    </row>
    <row r="61" spans="1:4" x14ac:dyDescent="0.3">
      <c r="A61" s="1">
        <v>25128</v>
      </c>
      <c r="B61" s="2">
        <v>45919</v>
      </c>
      <c r="C61" s="2">
        <v>45919</v>
      </c>
      <c r="D61">
        <f t="shared" si="1"/>
        <v>0</v>
      </c>
    </row>
    <row r="62" spans="1:4" x14ac:dyDescent="0.3">
      <c r="A62" s="1">
        <v>25128</v>
      </c>
      <c r="B62" s="2">
        <v>45919</v>
      </c>
      <c r="C62" s="2">
        <v>45919</v>
      </c>
      <c r="D62">
        <f t="shared" si="1"/>
        <v>0</v>
      </c>
    </row>
    <row r="63" spans="1:4" x14ac:dyDescent="0.3">
      <c r="A63" s="1">
        <v>25129</v>
      </c>
      <c r="B63" s="2">
        <v>45926</v>
      </c>
      <c r="C63" s="2">
        <v>45926</v>
      </c>
      <c r="D63">
        <f t="shared" si="1"/>
        <v>0</v>
      </c>
    </row>
    <row r="64" spans="1:4" x14ac:dyDescent="0.3">
      <c r="A64" s="1">
        <v>25132</v>
      </c>
      <c r="B64" s="2">
        <v>45947</v>
      </c>
      <c r="C64" s="2">
        <v>45947</v>
      </c>
      <c r="D64">
        <f t="shared" si="1"/>
        <v>0</v>
      </c>
    </row>
    <row r="65" spans="1:4" x14ac:dyDescent="0.3">
      <c r="A65" s="1">
        <v>25133</v>
      </c>
      <c r="B65" s="2">
        <v>46094</v>
      </c>
      <c r="C65" s="2">
        <v>46094</v>
      </c>
      <c r="D65">
        <f t="shared" si="1"/>
        <v>0</v>
      </c>
    </row>
    <row r="66" spans="1:4" x14ac:dyDescent="0.3">
      <c r="A66" s="1">
        <v>25135</v>
      </c>
      <c r="B66" s="2">
        <v>45954</v>
      </c>
      <c r="C66" s="2">
        <v>45954</v>
      </c>
      <c r="D66">
        <f t="shared" ref="D66:D97" si="2">C66-B66</f>
        <v>0</v>
      </c>
    </row>
    <row r="67" spans="1:4" x14ac:dyDescent="0.3">
      <c r="A67" s="1">
        <v>25135</v>
      </c>
      <c r="B67" s="2">
        <v>45954</v>
      </c>
      <c r="C67" s="2">
        <v>45954</v>
      </c>
      <c r="D67">
        <f t="shared" si="2"/>
        <v>0</v>
      </c>
    </row>
    <row r="68" spans="1:4" x14ac:dyDescent="0.3">
      <c r="A68" s="1">
        <v>25136</v>
      </c>
      <c r="B68" s="2">
        <v>45912</v>
      </c>
      <c r="C68" s="2">
        <v>45912</v>
      </c>
      <c r="D68">
        <f t="shared" si="2"/>
        <v>0</v>
      </c>
    </row>
    <row r="69" spans="1:4" x14ac:dyDescent="0.3">
      <c r="A69" s="1">
        <v>25137</v>
      </c>
      <c r="B69" s="2">
        <v>45954</v>
      </c>
      <c r="C69" s="2">
        <v>45954</v>
      </c>
      <c r="D69">
        <f t="shared" si="2"/>
        <v>0</v>
      </c>
    </row>
    <row r="70" spans="1:4" x14ac:dyDescent="0.3">
      <c r="A70" s="1">
        <v>25138</v>
      </c>
      <c r="B70" s="2">
        <v>45912</v>
      </c>
      <c r="C70" s="2">
        <v>45912</v>
      </c>
      <c r="D70">
        <f t="shared" si="2"/>
        <v>0</v>
      </c>
    </row>
    <row r="71" spans="1:4" x14ac:dyDescent="0.3">
      <c r="A71" s="1">
        <v>25138</v>
      </c>
      <c r="B71" s="2">
        <v>45912</v>
      </c>
      <c r="C71" s="2">
        <v>45912</v>
      </c>
      <c r="D71">
        <f t="shared" si="2"/>
        <v>0</v>
      </c>
    </row>
    <row r="72" spans="1:4" x14ac:dyDescent="0.3">
      <c r="A72" s="1">
        <v>25140</v>
      </c>
      <c r="B72" s="2">
        <v>45926</v>
      </c>
      <c r="C72" s="2">
        <v>45926</v>
      </c>
      <c r="D72">
        <f t="shared" si="2"/>
        <v>0</v>
      </c>
    </row>
    <row r="73" spans="1:4" x14ac:dyDescent="0.3">
      <c r="A73" s="1">
        <v>25143</v>
      </c>
      <c r="B73" s="2">
        <v>45947</v>
      </c>
      <c r="C73" s="2">
        <v>45947</v>
      </c>
      <c r="D73">
        <f t="shared" si="2"/>
        <v>0</v>
      </c>
    </row>
    <row r="74" spans="1:4" x14ac:dyDescent="0.3">
      <c r="A74" s="1">
        <v>25144</v>
      </c>
      <c r="B74" s="2">
        <v>45933</v>
      </c>
      <c r="C74" s="2">
        <v>45933</v>
      </c>
      <c r="D74">
        <f t="shared" si="2"/>
        <v>0</v>
      </c>
    </row>
    <row r="75" spans="1:4" x14ac:dyDescent="0.3">
      <c r="A75" s="1">
        <v>25145</v>
      </c>
      <c r="B75" s="2">
        <v>46101</v>
      </c>
      <c r="C75" s="2">
        <v>46101</v>
      </c>
      <c r="D75">
        <f t="shared" si="2"/>
        <v>0</v>
      </c>
    </row>
    <row r="76" spans="1:4" x14ac:dyDescent="0.3">
      <c r="A76" s="1">
        <v>25145</v>
      </c>
      <c r="B76" s="2">
        <v>46101</v>
      </c>
      <c r="C76" s="2">
        <v>46101</v>
      </c>
      <c r="D76">
        <f t="shared" si="2"/>
        <v>0</v>
      </c>
    </row>
    <row r="77" spans="1:4" x14ac:dyDescent="0.3">
      <c r="A77" s="1">
        <v>25146</v>
      </c>
      <c r="B77" s="2">
        <v>45940</v>
      </c>
      <c r="C77" s="2">
        <v>45940</v>
      </c>
      <c r="D77">
        <f t="shared" si="2"/>
        <v>0</v>
      </c>
    </row>
    <row r="78" spans="1:4" x14ac:dyDescent="0.3">
      <c r="A78" s="1">
        <v>25147</v>
      </c>
      <c r="B78" s="2">
        <v>45961</v>
      </c>
      <c r="C78" s="2">
        <v>45961</v>
      </c>
      <c r="D78">
        <f t="shared" si="2"/>
        <v>0</v>
      </c>
    </row>
    <row r="79" spans="1:4" x14ac:dyDescent="0.3">
      <c r="A79" s="1">
        <v>25147</v>
      </c>
      <c r="B79" s="2">
        <v>45961</v>
      </c>
      <c r="C79" s="2">
        <v>45961</v>
      </c>
      <c r="D79">
        <f t="shared" si="2"/>
        <v>0</v>
      </c>
    </row>
    <row r="80" spans="1:4" x14ac:dyDescent="0.3">
      <c r="A80" s="1">
        <v>25147</v>
      </c>
      <c r="B80" s="2">
        <v>45954</v>
      </c>
      <c r="C80" s="2">
        <v>45954</v>
      </c>
      <c r="D80">
        <f t="shared" si="2"/>
        <v>0</v>
      </c>
    </row>
    <row r="81" spans="1:4" x14ac:dyDescent="0.3">
      <c r="A81" s="1">
        <v>25147</v>
      </c>
      <c r="B81" s="2">
        <v>45961</v>
      </c>
      <c r="C81" s="2">
        <v>45961</v>
      </c>
      <c r="D81">
        <f t="shared" si="2"/>
        <v>0</v>
      </c>
    </row>
    <row r="82" spans="1:4" x14ac:dyDescent="0.3">
      <c r="A82" s="1">
        <v>25150</v>
      </c>
      <c r="B82" s="2">
        <v>45940</v>
      </c>
      <c r="C82" s="2">
        <v>45940</v>
      </c>
      <c r="D82">
        <f t="shared" si="2"/>
        <v>0</v>
      </c>
    </row>
    <row r="83" spans="1:4" x14ac:dyDescent="0.3">
      <c r="A83" s="1">
        <v>25151</v>
      </c>
      <c r="B83" s="2">
        <v>45996</v>
      </c>
      <c r="C83" s="2">
        <v>45996</v>
      </c>
      <c r="D83">
        <f t="shared" si="2"/>
        <v>0</v>
      </c>
    </row>
    <row r="84" spans="1:4" x14ac:dyDescent="0.3">
      <c r="A84" s="1">
        <v>25152</v>
      </c>
      <c r="B84" s="2">
        <v>45989</v>
      </c>
      <c r="C84" s="2">
        <v>45989</v>
      </c>
      <c r="D84">
        <f t="shared" si="2"/>
        <v>0</v>
      </c>
    </row>
    <row r="85" spans="1:4" x14ac:dyDescent="0.3">
      <c r="A85" s="1">
        <v>25154</v>
      </c>
      <c r="B85" s="2">
        <v>45989</v>
      </c>
      <c r="C85" s="2">
        <v>45989</v>
      </c>
      <c r="D85">
        <f t="shared" si="2"/>
        <v>0</v>
      </c>
    </row>
    <row r="86" spans="1:4" x14ac:dyDescent="0.3">
      <c r="A86" s="1">
        <v>25155</v>
      </c>
      <c r="B86" s="2">
        <v>45940</v>
      </c>
      <c r="C86" s="2">
        <v>45940</v>
      </c>
      <c r="D86">
        <f t="shared" si="2"/>
        <v>0</v>
      </c>
    </row>
    <row r="87" spans="1:4" x14ac:dyDescent="0.3">
      <c r="A87" s="1">
        <v>25156</v>
      </c>
      <c r="B87" s="2">
        <v>46038</v>
      </c>
      <c r="C87" s="2">
        <v>46038</v>
      </c>
      <c r="D87">
        <f t="shared" si="2"/>
        <v>0</v>
      </c>
    </row>
    <row r="88" spans="1:4" x14ac:dyDescent="0.3">
      <c r="A88" s="1">
        <v>25157</v>
      </c>
      <c r="B88" s="2">
        <v>45982</v>
      </c>
      <c r="C88" s="2">
        <v>45982</v>
      </c>
      <c r="D88">
        <f t="shared" si="2"/>
        <v>0</v>
      </c>
    </row>
    <row r="89" spans="1:4" x14ac:dyDescent="0.3">
      <c r="A89" s="1">
        <v>25158</v>
      </c>
      <c r="B89" s="2">
        <v>45996</v>
      </c>
      <c r="C89" s="2">
        <v>45996</v>
      </c>
      <c r="D89">
        <f t="shared" si="2"/>
        <v>0</v>
      </c>
    </row>
    <row r="90" spans="1:4" x14ac:dyDescent="0.3">
      <c r="A90" s="1">
        <v>25159</v>
      </c>
      <c r="B90" s="2">
        <v>45933</v>
      </c>
      <c r="C90" s="2">
        <v>45933</v>
      </c>
      <c r="D90">
        <f t="shared" si="2"/>
        <v>0</v>
      </c>
    </row>
    <row r="91" spans="1:4" x14ac:dyDescent="0.3">
      <c r="A91" s="1">
        <v>25160</v>
      </c>
      <c r="B91" s="2">
        <v>45961</v>
      </c>
      <c r="C91" s="2">
        <v>45961</v>
      </c>
      <c r="D91">
        <f t="shared" si="2"/>
        <v>0</v>
      </c>
    </row>
    <row r="92" spans="1:4" x14ac:dyDescent="0.3">
      <c r="A92" s="1">
        <v>25161</v>
      </c>
      <c r="B92" s="2">
        <v>45933</v>
      </c>
      <c r="C92" s="2">
        <v>45933</v>
      </c>
      <c r="D92">
        <f t="shared" si="2"/>
        <v>0</v>
      </c>
    </row>
    <row r="93" spans="1:4" x14ac:dyDescent="0.3">
      <c r="A93" s="1">
        <v>25165</v>
      </c>
      <c r="B93" s="2">
        <v>45982</v>
      </c>
      <c r="C93" s="2">
        <v>45982</v>
      </c>
      <c r="D93">
        <f t="shared" si="2"/>
        <v>0</v>
      </c>
    </row>
    <row r="94" spans="1:4" x14ac:dyDescent="0.3">
      <c r="A94" s="1">
        <v>25166</v>
      </c>
      <c r="B94" s="2">
        <v>46045</v>
      </c>
      <c r="C94" s="2">
        <v>46045</v>
      </c>
      <c r="D94">
        <f t="shared" si="2"/>
        <v>0</v>
      </c>
    </row>
    <row r="95" spans="1:4" x14ac:dyDescent="0.3">
      <c r="A95" s="1">
        <v>25168</v>
      </c>
      <c r="B95" s="2">
        <v>46080</v>
      </c>
      <c r="C95" s="2">
        <v>46080</v>
      </c>
      <c r="D95">
        <f t="shared" si="2"/>
        <v>0</v>
      </c>
    </row>
    <row r="96" spans="1:4" x14ac:dyDescent="0.3">
      <c r="A96" s="1">
        <v>25169</v>
      </c>
      <c r="B96" s="2">
        <v>45989</v>
      </c>
      <c r="C96" s="2">
        <v>45989</v>
      </c>
      <c r="D96">
        <f t="shared" si="2"/>
        <v>0</v>
      </c>
    </row>
    <row r="97" spans="1:4" x14ac:dyDescent="0.3">
      <c r="A97" s="1">
        <v>25170</v>
      </c>
      <c r="B97" s="2">
        <v>45982</v>
      </c>
      <c r="C97" s="2">
        <v>45982</v>
      </c>
      <c r="D97">
        <f t="shared" si="2"/>
        <v>0</v>
      </c>
    </row>
    <row r="98" spans="1:4" x14ac:dyDescent="0.3">
      <c r="A98" s="1">
        <v>25171</v>
      </c>
      <c r="B98" s="2">
        <v>45982</v>
      </c>
      <c r="C98" s="2">
        <v>45982</v>
      </c>
      <c r="D98">
        <f t="shared" ref="D98:D129" si="3">C98-B98</f>
        <v>0</v>
      </c>
    </row>
    <row r="99" spans="1:4" x14ac:dyDescent="0.3">
      <c r="A99" s="1">
        <v>25172</v>
      </c>
      <c r="B99" s="2">
        <v>45996</v>
      </c>
      <c r="C99" s="2">
        <v>45996</v>
      </c>
      <c r="D99">
        <f t="shared" si="3"/>
        <v>0</v>
      </c>
    </row>
    <row r="100" spans="1:4" x14ac:dyDescent="0.3">
      <c r="A100" s="1">
        <v>25173</v>
      </c>
      <c r="B100" s="2">
        <v>45975</v>
      </c>
      <c r="C100" s="2">
        <v>45975</v>
      </c>
      <c r="D100">
        <f t="shared" si="3"/>
        <v>0</v>
      </c>
    </row>
    <row r="101" spans="1:4" x14ac:dyDescent="0.3">
      <c r="A101" s="1">
        <v>25174</v>
      </c>
      <c r="B101" s="2">
        <v>45982</v>
      </c>
      <c r="C101" s="2">
        <v>45982</v>
      </c>
      <c r="D101">
        <f t="shared" si="3"/>
        <v>0</v>
      </c>
    </row>
    <row r="102" spans="1:4" x14ac:dyDescent="0.3">
      <c r="A102" s="1">
        <v>25175</v>
      </c>
      <c r="B102" s="2">
        <v>45989</v>
      </c>
      <c r="C102" s="2">
        <v>45989</v>
      </c>
      <c r="D102">
        <f t="shared" si="3"/>
        <v>0</v>
      </c>
    </row>
    <row r="103" spans="1:4" x14ac:dyDescent="0.3">
      <c r="A103" s="1">
        <v>25176</v>
      </c>
      <c r="B103" s="2">
        <v>45989</v>
      </c>
      <c r="C103" s="2">
        <v>45989</v>
      </c>
      <c r="D103">
        <f t="shared" si="3"/>
        <v>0</v>
      </c>
    </row>
    <row r="104" spans="1:4" x14ac:dyDescent="0.3">
      <c r="A104" s="1">
        <v>25177</v>
      </c>
      <c r="B104" s="2">
        <v>46031</v>
      </c>
      <c r="C104" s="2">
        <v>46031</v>
      </c>
      <c r="D104">
        <f t="shared" si="3"/>
        <v>0</v>
      </c>
    </row>
    <row r="105" spans="1:4" x14ac:dyDescent="0.3">
      <c r="A105" s="1">
        <v>25178</v>
      </c>
      <c r="B105" s="2">
        <v>45982</v>
      </c>
      <c r="C105" s="2">
        <v>45982</v>
      </c>
      <c r="D105">
        <f t="shared" si="3"/>
        <v>0</v>
      </c>
    </row>
    <row r="106" spans="1:4" x14ac:dyDescent="0.3">
      <c r="A106" s="1">
        <v>25179</v>
      </c>
      <c r="B106" s="2">
        <v>45982</v>
      </c>
      <c r="C106" s="2">
        <v>45982</v>
      </c>
      <c r="D106">
        <f t="shared" si="3"/>
        <v>0</v>
      </c>
    </row>
    <row r="107" spans="1:4" x14ac:dyDescent="0.3">
      <c r="A107" s="1">
        <v>25181</v>
      </c>
      <c r="B107" s="2">
        <v>45989</v>
      </c>
      <c r="C107" s="2">
        <v>45989</v>
      </c>
      <c r="D107">
        <f t="shared" si="3"/>
        <v>0</v>
      </c>
    </row>
    <row r="108" spans="1:4" x14ac:dyDescent="0.3">
      <c r="A108" s="1">
        <v>25182</v>
      </c>
      <c r="B108" s="2">
        <v>45975</v>
      </c>
      <c r="C108" s="2">
        <v>45975</v>
      </c>
      <c r="D108">
        <f t="shared" si="3"/>
        <v>0</v>
      </c>
    </row>
    <row r="109" spans="1:4" x14ac:dyDescent="0.3">
      <c r="A109" s="1">
        <v>25185</v>
      </c>
      <c r="B109" s="2">
        <v>46031</v>
      </c>
      <c r="C109" s="2">
        <v>46031</v>
      </c>
      <c r="D109">
        <f t="shared" si="3"/>
        <v>0</v>
      </c>
    </row>
    <row r="110" spans="1:4" x14ac:dyDescent="0.3">
      <c r="A110" s="1">
        <v>25187</v>
      </c>
      <c r="B110" s="2">
        <v>46003</v>
      </c>
      <c r="C110" s="2">
        <v>46003</v>
      </c>
      <c r="D110">
        <f t="shared" si="3"/>
        <v>0</v>
      </c>
    </row>
    <row r="111" spans="1:4" x14ac:dyDescent="0.3">
      <c r="A111" s="1">
        <v>25189</v>
      </c>
      <c r="B111" s="2">
        <v>46003</v>
      </c>
      <c r="C111" s="2">
        <v>46003</v>
      </c>
      <c r="D111">
        <f t="shared" si="3"/>
        <v>0</v>
      </c>
    </row>
    <row r="112" spans="1:4" x14ac:dyDescent="0.3">
      <c r="A112" s="1">
        <v>25190</v>
      </c>
      <c r="B112" s="2">
        <v>46003</v>
      </c>
      <c r="C112" s="2">
        <v>46003</v>
      </c>
      <c r="D112">
        <f t="shared" si="3"/>
        <v>0</v>
      </c>
    </row>
    <row r="113" spans="1:4" x14ac:dyDescent="0.3">
      <c r="A113" s="1">
        <v>25191</v>
      </c>
      <c r="B113" s="2">
        <v>45996</v>
      </c>
      <c r="C113" s="2">
        <v>45996</v>
      </c>
      <c r="D113">
        <f t="shared" si="3"/>
        <v>0</v>
      </c>
    </row>
    <row r="114" spans="1:4" x14ac:dyDescent="0.3">
      <c r="A114" s="1">
        <v>25194</v>
      </c>
      <c r="B114" s="2">
        <v>45996</v>
      </c>
      <c r="C114" s="2">
        <v>45996</v>
      </c>
      <c r="D114">
        <f t="shared" si="3"/>
        <v>0</v>
      </c>
    </row>
    <row r="115" spans="1:4" x14ac:dyDescent="0.3">
      <c r="A115" s="1">
        <v>25200</v>
      </c>
      <c r="B115" s="2">
        <v>46022</v>
      </c>
      <c r="C115" s="2">
        <v>46022</v>
      </c>
      <c r="D115">
        <f t="shared" si="3"/>
        <v>0</v>
      </c>
    </row>
    <row r="116" spans="1:4" x14ac:dyDescent="0.3">
      <c r="A116" s="1">
        <v>25202</v>
      </c>
      <c r="B116" s="2">
        <v>46038</v>
      </c>
      <c r="C116" s="2">
        <v>46038</v>
      </c>
      <c r="D116">
        <f t="shared" si="3"/>
        <v>0</v>
      </c>
    </row>
    <row r="117" spans="1:4" x14ac:dyDescent="0.3">
      <c r="A117" s="1">
        <v>25203</v>
      </c>
      <c r="B117" s="2">
        <v>45996</v>
      </c>
      <c r="C117" s="2">
        <v>45996</v>
      </c>
      <c r="D117">
        <f t="shared" si="3"/>
        <v>0</v>
      </c>
    </row>
    <row r="118" spans="1:4" x14ac:dyDescent="0.3">
      <c r="A118" s="1">
        <v>25206</v>
      </c>
      <c r="B118" s="2">
        <v>46003</v>
      </c>
      <c r="C118" s="2">
        <v>46003</v>
      </c>
      <c r="D118">
        <f t="shared" si="3"/>
        <v>0</v>
      </c>
    </row>
    <row r="119" spans="1:4" x14ac:dyDescent="0.3">
      <c r="A119" s="1">
        <v>25207</v>
      </c>
      <c r="B119" s="2">
        <v>46045</v>
      </c>
      <c r="C119" s="2">
        <v>46045</v>
      </c>
      <c r="D119">
        <f t="shared" si="3"/>
        <v>0</v>
      </c>
    </row>
    <row r="120" spans="1:4" x14ac:dyDescent="0.3">
      <c r="A120" s="1">
        <v>25210</v>
      </c>
      <c r="B120" s="2">
        <v>46094</v>
      </c>
      <c r="C120" s="2">
        <v>46094</v>
      </c>
      <c r="D120">
        <f t="shared" si="3"/>
        <v>0</v>
      </c>
    </row>
    <row r="121" spans="1:4" x14ac:dyDescent="0.3">
      <c r="A121" s="1">
        <v>25212</v>
      </c>
      <c r="B121" s="2">
        <v>46115</v>
      </c>
      <c r="C121" s="2">
        <v>46115</v>
      </c>
      <c r="D121">
        <f t="shared" si="3"/>
        <v>0</v>
      </c>
    </row>
    <row r="122" spans="1:4" x14ac:dyDescent="0.3">
      <c r="A122" s="1">
        <v>25213</v>
      </c>
      <c r="B122" s="2">
        <v>46094</v>
      </c>
      <c r="C122" s="2">
        <v>46094</v>
      </c>
      <c r="D122">
        <f t="shared" si="3"/>
        <v>0</v>
      </c>
    </row>
    <row r="123" spans="1:4" x14ac:dyDescent="0.3">
      <c r="A123" s="1">
        <v>25214</v>
      </c>
      <c r="B123" s="2">
        <v>46059</v>
      </c>
      <c r="C123" s="2">
        <v>46059</v>
      </c>
      <c r="D123">
        <f t="shared" si="3"/>
        <v>0</v>
      </c>
    </row>
    <row r="124" spans="1:4" x14ac:dyDescent="0.3">
      <c r="A124" s="1">
        <v>25220</v>
      </c>
      <c r="B124" s="2">
        <v>46073</v>
      </c>
      <c r="C124" s="2">
        <v>46073</v>
      </c>
      <c r="D124">
        <f t="shared" si="3"/>
        <v>0</v>
      </c>
    </row>
    <row r="125" spans="1:4" x14ac:dyDescent="0.3">
      <c r="A125" s="1">
        <v>25221</v>
      </c>
      <c r="B125" s="2">
        <v>46073</v>
      </c>
      <c r="C125" s="2">
        <v>46073</v>
      </c>
      <c r="D125">
        <f t="shared" si="3"/>
        <v>0</v>
      </c>
    </row>
    <row r="126" spans="1:4" x14ac:dyDescent="0.3">
      <c r="A126" s="1">
        <v>25228</v>
      </c>
      <c r="B126" s="2">
        <v>46045</v>
      </c>
      <c r="C126" s="2">
        <v>46045</v>
      </c>
      <c r="D126">
        <f t="shared" si="3"/>
        <v>0</v>
      </c>
    </row>
    <row r="127" spans="1:4" x14ac:dyDescent="0.3">
      <c r="A127" s="1">
        <v>25231</v>
      </c>
      <c r="B127" s="2">
        <v>46022</v>
      </c>
      <c r="C127" s="2">
        <v>46022</v>
      </c>
      <c r="D127">
        <f t="shared" si="3"/>
        <v>0</v>
      </c>
    </row>
    <row r="128" spans="1:4" x14ac:dyDescent="0.3">
      <c r="A128" s="1">
        <v>25233</v>
      </c>
      <c r="B128" s="2">
        <v>46066</v>
      </c>
      <c r="C128" s="2">
        <v>46066</v>
      </c>
      <c r="D128">
        <f t="shared" si="3"/>
        <v>0</v>
      </c>
    </row>
    <row r="129" spans="1:4" x14ac:dyDescent="0.3">
      <c r="A129" s="1">
        <v>25234</v>
      </c>
      <c r="B129" s="2">
        <v>46094</v>
      </c>
      <c r="C129" s="2">
        <v>46094</v>
      </c>
      <c r="D129">
        <f t="shared" si="3"/>
        <v>0</v>
      </c>
    </row>
    <row r="130" spans="1:4" x14ac:dyDescent="0.3">
      <c r="A130" s="1">
        <v>25237</v>
      </c>
      <c r="B130" s="2">
        <v>46142</v>
      </c>
      <c r="C130" s="2">
        <v>46142</v>
      </c>
      <c r="D130">
        <f t="shared" ref="D130:D161" si="4">C130-B130</f>
        <v>0</v>
      </c>
    </row>
    <row r="131" spans="1:4" x14ac:dyDescent="0.3">
      <c r="A131" s="1">
        <v>25238</v>
      </c>
      <c r="B131" s="2">
        <v>46031</v>
      </c>
      <c r="C131" s="2">
        <v>46031</v>
      </c>
      <c r="D131">
        <f t="shared" si="4"/>
        <v>0</v>
      </c>
    </row>
    <row r="132" spans="1:4" x14ac:dyDescent="0.3">
      <c r="A132" s="1">
        <v>25243</v>
      </c>
      <c r="B132" s="2">
        <v>46080</v>
      </c>
      <c r="C132" s="2">
        <v>46080</v>
      </c>
      <c r="D132">
        <f t="shared" si="4"/>
        <v>0</v>
      </c>
    </row>
    <row r="133" spans="1:4" x14ac:dyDescent="0.3">
      <c r="A133" s="1">
        <v>25244</v>
      </c>
      <c r="B133" s="2">
        <v>46052</v>
      </c>
      <c r="C133" s="2">
        <v>46052</v>
      </c>
      <c r="D133">
        <f t="shared" si="4"/>
        <v>0</v>
      </c>
    </row>
    <row r="134" spans="1:4" x14ac:dyDescent="0.3">
      <c r="A134" s="1">
        <v>26005</v>
      </c>
      <c r="B134" s="2">
        <v>46080</v>
      </c>
      <c r="C134" s="2">
        <v>46080</v>
      </c>
      <c r="D134">
        <f t="shared" si="4"/>
        <v>0</v>
      </c>
    </row>
    <row r="135" spans="1:4" x14ac:dyDescent="0.3">
      <c r="A135" s="1">
        <v>26008</v>
      </c>
      <c r="B135" s="2">
        <v>46122</v>
      </c>
      <c r="C135" s="2">
        <v>46122</v>
      </c>
      <c r="D135">
        <f t="shared" si="4"/>
        <v>0</v>
      </c>
    </row>
    <row r="136" spans="1:4" x14ac:dyDescent="0.3">
      <c r="A136" s="1">
        <v>26009</v>
      </c>
      <c r="B136" s="2">
        <v>46080</v>
      </c>
      <c r="C136" s="2">
        <v>46080</v>
      </c>
      <c r="D136">
        <f t="shared" si="4"/>
        <v>0</v>
      </c>
    </row>
    <row r="137" spans="1:4" x14ac:dyDescent="0.3">
      <c r="A137" s="1">
        <v>26015</v>
      </c>
      <c r="B137" s="2">
        <v>46129</v>
      </c>
      <c r="C137" s="2">
        <v>46129</v>
      </c>
      <c r="D137">
        <f t="shared" si="4"/>
        <v>0</v>
      </c>
    </row>
    <row r="138" spans="1:4" x14ac:dyDescent="0.3">
      <c r="A138" s="1">
        <v>26019</v>
      </c>
      <c r="B138" s="2">
        <v>46115</v>
      </c>
      <c r="C138" s="2">
        <v>46115</v>
      </c>
      <c r="D138">
        <f t="shared" si="4"/>
        <v>0</v>
      </c>
    </row>
    <row r="139" spans="1:4" x14ac:dyDescent="0.3">
      <c r="A139" s="1">
        <v>26022</v>
      </c>
      <c r="B139" s="2">
        <v>46129</v>
      </c>
      <c r="C139" s="2">
        <v>46129</v>
      </c>
      <c r="D139">
        <f t="shared" si="4"/>
        <v>0</v>
      </c>
    </row>
    <row r="140" spans="1:4" x14ac:dyDescent="0.3">
      <c r="A140" s="1">
        <v>26031</v>
      </c>
      <c r="B140" s="2">
        <v>46136</v>
      </c>
      <c r="C140" s="2">
        <v>46136</v>
      </c>
      <c r="D140">
        <f t="shared" si="4"/>
        <v>0</v>
      </c>
    </row>
    <row r="141" spans="1:4" x14ac:dyDescent="0.3">
      <c r="A141" s="1">
        <v>26044</v>
      </c>
      <c r="B141" s="2">
        <v>46136</v>
      </c>
      <c r="C141" s="2">
        <v>46136</v>
      </c>
      <c r="D141">
        <f t="shared" si="4"/>
        <v>0</v>
      </c>
    </row>
    <row r="142" spans="1:4" x14ac:dyDescent="0.3">
      <c r="A142" s="1">
        <v>26045</v>
      </c>
      <c r="B142" s="2">
        <v>46150</v>
      </c>
      <c r="C142" s="2">
        <v>46150</v>
      </c>
      <c r="D142">
        <f t="shared" si="4"/>
        <v>0</v>
      </c>
    </row>
    <row r="143" spans="1:4" x14ac:dyDescent="0.3">
      <c r="A143" s="1">
        <v>26046</v>
      </c>
      <c r="B143" s="2">
        <v>46150</v>
      </c>
      <c r="C143" s="2">
        <v>46150</v>
      </c>
      <c r="D143">
        <f t="shared" si="4"/>
        <v>0</v>
      </c>
    </row>
    <row r="144" spans="1:4" x14ac:dyDescent="0.3">
      <c r="A144" s="1">
        <v>26047</v>
      </c>
      <c r="B144" s="2">
        <v>46129</v>
      </c>
      <c r="C144" s="2">
        <v>46129</v>
      </c>
      <c r="D144">
        <f t="shared" si="4"/>
        <v>0</v>
      </c>
    </row>
    <row r="145" spans="1:4" x14ac:dyDescent="0.3">
      <c r="A145" s="1">
        <v>26060</v>
      </c>
      <c r="B145" s="2">
        <v>46164</v>
      </c>
      <c r="C145" s="2">
        <v>46164</v>
      </c>
      <c r="D145">
        <f t="shared" si="4"/>
        <v>0</v>
      </c>
    </row>
    <row r="146" spans="1:4" x14ac:dyDescent="0.3">
      <c r="A146" s="1">
        <v>26035</v>
      </c>
      <c r="B146" s="2">
        <v>46130</v>
      </c>
      <c r="C146" s="2">
        <v>46129</v>
      </c>
      <c r="D146">
        <f t="shared" si="4"/>
        <v>-1</v>
      </c>
    </row>
    <row r="147" spans="1:4" x14ac:dyDescent="0.3">
      <c r="A147" s="1">
        <v>25205</v>
      </c>
      <c r="B147" s="2">
        <v>46080</v>
      </c>
      <c r="C147" s="2">
        <v>46078</v>
      </c>
      <c r="D147">
        <f t="shared" si="4"/>
        <v>-2</v>
      </c>
    </row>
    <row r="148" spans="1:4" x14ac:dyDescent="0.3">
      <c r="A148" s="1">
        <v>25249</v>
      </c>
      <c r="B148" s="2">
        <v>46142</v>
      </c>
      <c r="C148" s="2">
        <v>46136</v>
      </c>
      <c r="D148">
        <f t="shared" si="4"/>
        <v>-6</v>
      </c>
    </row>
    <row r="149" spans="1:4" x14ac:dyDescent="0.3">
      <c r="A149" s="1">
        <v>25091</v>
      </c>
      <c r="B149" s="2">
        <v>46003</v>
      </c>
      <c r="C149" s="2">
        <v>45996</v>
      </c>
      <c r="D149">
        <f t="shared" si="4"/>
        <v>-7</v>
      </c>
    </row>
    <row r="150" spans="1:4" x14ac:dyDescent="0.3">
      <c r="A150" s="1">
        <v>25092</v>
      </c>
      <c r="B150" s="2">
        <v>45961</v>
      </c>
      <c r="C150" s="2">
        <v>45954</v>
      </c>
      <c r="D150">
        <f t="shared" si="4"/>
        <v>-7</v>
      </c>
    </row>
    <row r="151" spans="1:4" x14ac:dyDescent="0.3">
      <c r="A151" s="1">
        <v>25109</v>
      </c>
      <c r="B151" s="2">
        <v>45926</v>
      </c>
      <c r="C151" s="2">
        <v>45919</v>
      </c>
      <c r="D151">
        <f t="shared" si="4"/>
        <v>-7</v>
      </c>
    </row>
    <row r="152" spans="1:4" x14ac:dyDescent="0.3">
      <c r="A152" s="1">
        <v>25216</v>
      </c>
      <c r="B152" s="2">
        <v>46080</v>
      </c>
      <c r="C152" s="2">
        <v>46073</v>
      </c>
      <c r="D152">
        <f t="shared" si="4"/>
        <v>-7</v>
      </c>
    </row>
    <row r="153" spans="1:4" x14ac:dyDescent="0.3">
      <c r="A153" s="1">
        <v>25250</v>
      </c>
      <c r="B153" s="2">
        <v>46157</v>
      </c>
      <c r="C153" s="2">
        <v>46150</v>
      </c>
      <c r="D153">
        <f t="shared" si="4"/>
        <v>-7</v>
      </c>
    </row>
    <row r="154" spans="1:4" x14ac:dyDescent="0.3">
      <c r="A154" s="1">
        <v>25251</v>
      </c>
      <c r="B154" s="2">
        <v>46136</v>
      </c>
      <c r="C154" s="2">
        <v>46129</v>
      </c>
      <c r="D154">
        <f t="shared" si="4"/>
        <v>-7</v>
      </c>
    </row>
    <row r="155" spans="1:4" x14ac:dyDescent="0.3">
      <c r="A155" s="1">
        <v>26061</v>
      </c>
      <c r="B155" s="2">
        <v>46129</v>
      </c>
      <c r="C155" s="2">
        <v>46119</v>
      </c>
      <c r="D155">
        <f t="shared" si="4"/>
        <v>-10</v>
      </c>
    </row>
    <row r="156" spans="1:4" x14ac:dyDescent="0.3">
      <c r="A156" s="1">
        <v>25040</v>
      </c>
      <c r="B156" s="2">
        <v>45982</v>
      </c>
      <c r="C156" s="2">
        <v>45968</v>
      </c>
      <c r="D156">
        <f t="shared" si="4"/>
        <v>-14</v>
      </c>
    </row>
    <row r="157" spans="1:4" x14ac:dyDescent="0.3">
      <c r="A157" s="1">
        <v>25209</v>
      </c>
      <c r="B157" s="2">
        <v>46136</v>
      </c>
      <c r="C157" s="2">
        <v>46122</v>
      </c>
      <c r="D157">
        <f t="shared" si="4"/>
        <v>-14</v>
      </c>
    </row>
    <row r="158" spans="1:4" x14ac:dyDescent="0.3">
      <c r="A158" s="1">
        <v>25246</v>
      </c>
      <c r="B158" s="2">
        <v>46080</v>
      </c>
      <c r="C158" s="2">
        <v>46066</v>
      </c>
      <c r="D158">
        <f t="shared" si="4"/>
        <v>-14</v>
      </c>
    </row>
    <row r="159" spans="1:4" x14ac:dyDescent="0.3">
      <c r="A159" s="1">
        <v>25252</v>
      </c>
      <c r="B159" s="2">
        <v>46164</v>
      </c>
      <c r="C159" s="2">
        <v>46150</v>
      </c>
      <c r="D159">
        <f t="shared" si="4"/>
        <v>-14</v>
      </c>
    </row>
    <row r="160" spans="1:4" x14ac:dyDescent="0.3">
      <c r="A160" s="1">
        <v>26057</v>
      </c>
      <c r="B160" s="2">
        <v>46142</v>
      </c>
      <c r="C160" s="2">
        <v>46126</v>
      </c>
      <c r="D160">
        <f t="shared" si="4"/>
        <v>-16</v>
      </c>
    </row>
    <row r="161" spans="1:4" x14ac:dyDescent="0.3">
      <c r="A161" s="1">
        <v>25223</v>
      </c>
      <c r="B161" s="2">
        <v>46037</v>
      </c>
      <c r="C161" s="2">
        <v>46017</v>
      </c>
      <c r="D161">
        <f t="shared" si="4"/>
        <v>-20</v>
      </c>
    </row>
    <row r="162" spans="1:4" x14ac:dyDescent="0.3">
      <c r="A162" s="1">
        <v>25124</v>
      </c>
      <c r="B162" s="2">
        <v>45982</v>
      </c>
      <c r="C162" s="2">
        <v>45940</v>
      </c>
      <c r="D162">
        <f t="shared" ref="D162" si="5">C162-B162</f>
        <v>-42</v>
      </c>
    </row>
  </sheetData>
  <autoFilter ref="A1:D162" xr:uid="{F486EF12-49B5-4966-8B56-D2FBA1216C7F}">
    <sortState xmlns:xlrd2="http://schemas.microsoft.com/office/spreadsheetml/2017/richdata2" ref="A2:D162">
      <sortCondition descending="1" ref="D1:D16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900D840B0E544AA24F1570FBD565A" ma:contentTypeVersion="12" ma:contentTypeDescription="Crée un document." ma:contentTypeScope="" ma:versionID="cb1768f5654a8691d5a1343d94474acd">
  <xsd:schema xmlns:xsd="http://www.w3.org/2001/XMLSchema" xmlns:xs="http://www.w3.org/2001/XMLSchema" xmlns:p="http://schemas.microsoft.com/office/2006/metadata/properties" xmlns:ns2="443fed2a-84e1-4ae4-8632-7ec433e580c7" xmlns:ns3="0d712b52-b99b-4f81-a61f-ce3d42633cb2" targetNamespace="http://schemas.microsoft.com/office/2006/metadata/properties" ma:root="true" ma:fieldsID="7c3811f23a060b6a1958b89160a4d889" ns2:_="" ns3:_="">
    <xsd:import namespace="443fed2a-84e1-4ae4-8632-7ec433e580c7"/>
    <xsd:import namespace="0d712b52-b99b-4f81-a61f-ce3d42633c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fed2a-84e1-4ae4-8632-7ec433e58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1ba5236-392f-433a-a409-d9165d8e0a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12b52-b99b-4f81-a61f-ce3d42633c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ec52443-63fe-4f1e-8fed-2a9cc47953af}" ma:internalName="TaxCatchAll" ma:showField="CatchAllData" ma:web="0d712b52-b99b-4f81-a61f-ce3d42633c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3fed2a-84e1-4ae4-8632-7ec433e580c7">
      <Terms xmlns="http://schemas.microsoft.com/office/infopath/2007/PartnerControls"/>
    </lcf76f155ced4ddcb4097134ff3c332f>
    <TaxCatchAll xmlns="0d712b52-b99b-4f81-a61f-ce3d42633cb2" xsi:nil="true"/>
  </documentManagement>
</p:properties>
</file>

<file path=customXml/itemProps1.xml><?xml version="1.0" encoding="utf-8"?>
<ds:datastoreItem xmlns:ds="http://schemas.openxmlformats.org/officeDocument/2006/customXml" ds:itemID="{03854F21-304F-4537-9D07-8C4B56339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fed2a-84e1-4ae4-8632-7ec433e580c7"/>
    <ds:schemaRef ds:uri="0d712b52-b99b-4f81-a61f-ce3d42633c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14F2A6-D153-42D0-9C2E-90F447E7D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93054-90B6-48CA-AFC4-1C9F914F7DA0}">
  <ds:schemaRefs>
    <ds:schemaRef ds:uri="http://schemas.microsoft.com/office/2006/metadata/properties"/>
    <ds:schemaRef ds:uri="http://schemas.microsoft.com/office/infopath/2007/PartnerControls"/>
    <ds:schemaRef ds:uri="443fed2a-84e1-4ae4-8632-7ec433e580c7"/>
    <ds:schemaRef ds:uri="0d712b52-b99b-4f81-a61f-ce3d42633c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 GERY</dc:creator>
  <cp:lastModifiedBy>Maxime BLANZAT - PONCEBLANC</cp:lastModifiedBy>
  <cp:lastPrinted>2025-12-29T14:08:20Z</cp:lastPrinted>
  <dcterms:created xsi:type="dcterms:W3CDTF">2025-09-22T07:08:26Z</dcterms:created>
  <dcterms:modified xsi:type="dcterms:W3CDTF">2026-09-07T12:40:48Z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0x010100AD2900D840B0E544AA24F1570FBD565A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