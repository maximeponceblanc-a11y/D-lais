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222" documentId="13_ncr:1_{812CE923-C0E5-444E-8B27-77724A147C38}" xr6:coauthVersionLast="47" xr6:coauthVersionMax="47" xr10:uidLastSave="{FFC75871-C52D-41B2-8C5C-65072C09339D}"/>
  <bookViews>
    <workbookView xWindow="-108" yWindow="-108" windowWidth="23256" windowHeight="13896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<sst xmlns="http://schemas.openxmlformats.org/spreadsheetml/2006/main" count="763" uniqueCount="397">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</sst>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sheetPr filterMode="1"/>
  <dimension ref="A1:AN254"/>
  <sheetViews>
    <sheetView tabSelected="1" workbookViewId="0">
      <pane xSplit="1" ySplit="1" topLeftCell="C185" activePane="bottomRight" state="frozen"/>
      <selection pane="topRight" activeCell="B1" sqref="B1"/>
      <selection pane="bottomLeft" activeCell="A4" sqref="A4"/>
      <selection pane="bottomRight" activeCell="I262" sqref="I262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hidden="1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hidden="1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hidden="1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hidden="1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hidden="1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hidden="1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hidden="1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hidden="1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hidden="1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hidden="1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hidden="1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hidden="1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hidden="1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hidden="1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hidden="1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hidden="1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 t="s">
        <v>369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45975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164</v>
      </c>
      <c r="AA17" s="1" t="str">
        <f t="shared" si="5"/>
        <v>DEVIS</v>
      </c>
      <c r="AB17" s="1">
        <f t="shared" si="6"/>
        <v>45797</v>
      </c>
      <c r="AC17" s="1">
        <f t="shared" si="7"/>
        <v>128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130</v>
      </c>
      <c r="AM17" s="1">
        <f>IFERROR(IF($R17="","NON LIVRE",IF(MAX($N17,$O17)=0,"PAS D'EXPEDITION DE MATIERE, D'IMPRESSION, OU D'ACHAT",NETWORKDAYS(MAX($N17,$O17),$Q17)-1)),"PAS D'EXPEDITION DE MATIERE, D'IMPRESSION, OU D'ACHAT")</f>
        <v>-112</v>
      </c>
      <c r="AN17" s="1">
        <f t="shared" si="17"/>
        <v>120</v>
      </c>
    </row>
    <row r="18" spans="1:40" hidden="1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hidden="1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hidden="1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46218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327</v>
      </c>
      <c r="AJ20" s="1">
        <f t="shared" si="14"/>
        <v>-250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hidden="1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hidden="1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hidden="1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hidden="1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hidden="1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hidden="1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hidden="1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hidden="1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hidden="1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hidden="1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hidden="1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hidden="1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hidden="1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hidden="1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hidden="1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hidden="1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hidden="1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hidden="1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hidden="1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hidden="1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hidden="1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hidden="1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hidden="1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G43" s="2">
        <v>45980</v>
      </c>
      <c r="H43" s="2">
        <v>45999</v>
      </c>
      <c r="I43" s="2">
        <v>46014</v>
      </c>
      <c r="J43" s="2">
        <v>46042</v>
      </c>
      <c r="L43" s="2">
        <v>46139</v>
      </c>
      <c r="M43" s="2">
        <v>46148</v>
      </c>
      <c r="N43" s="2">
        <v>46057</v>
      </c>
      <c r="O43" s="2">
        <v>46155</v>
      </c>
      <c r="P43" s="2">
        <v>46080</v>
      </c>
      <c r="Q43" s="2">
        <v>46080</v>
      </c>
      <c r="R43" s="2">
        <v>46129</v>
      </c>
      <c r="S43" s="1">
        <v>6</v>
      </c>
      <c r="W43" s="1">
        <f t="shared" si="1"/>
        <v>225</v>
      </c>
      <c r="X43" s="1">
        <f t="shared" si="2"/>
        <v>190</v>
      </c>
      <c r="Y43" s="1">
        <f t="shared" si="3"/>
        <v>0</v>
      </c>
      <c r="Z43" s="1">
        <f t="shared" si="4"/>
        <v>173</v>
      </c>
      <c r="AA43" s="1">
        <f t="shared" si="5"/>
        <v>118</v>
      </c>
      <c r="AB43" s="1">
        <f t="shared" si="6"/>
        <v>13</v>
      </c>
      <c r="AC43" s="1">
        <f t="shared" si="7"/>
        <v>42</v>
      </c>
      <c r="AD43" s="1">
        <f t="shared" si="8"/>
        <v>243</v>
      </c>
      <c r="AE43" s="1">
        <f t="shared" si="9"/>
        <v>231</v>
      </c>
      <c r="AF43" s="1" t="str">
        <f t="shared" si="10"/>
        <v>PAS DE DATE PAPIER</v>
      </c>
      <c r="AG43" s="1">
        <f t="shared" si="11"/>
        <v>238</v>
      </c>
      <c r="AH43" s="1">
        <f t="shared" si="12"/>
        <v>142</v>
      </c>
      <c r="AI43" s="1">
        <f t="shared" si="13"/>
        <v>162</v>
      </c>
      <c r="AJ43" s="1">
        <f t="shared" si="14"/>
        <v>69</v>
      </c>
      <c r="AK43" s="1">
        <f t="shared" si="19"/>
        <v>12</v>
      </c>
      <c r="AL43" s="1">
        <f t="shared" si="16"/>
        <v>70</v>
      </c>
      <c r="AM43" s="1">
        <f t="shared" si="0"/>
        <v>-55</v>
      </c>
      <c r="AN43" s="1">
        <f t="shared" si="17"/>
        <v>35</v>
      </c>
    </row>
    <row r="44" spans="1:40" hidden="1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hidden="1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hidden="1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hidden="1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hidden="1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hidden="1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hidden="1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hidden="1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hidden="1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hidden="1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hidden="1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hidden="1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hidden="1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hidden="1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hidden="1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hidden="1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hidden="1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hidden="1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hidden="1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hidden="1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hidden="1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hidden="1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hidden="1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hidden="1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hidden="1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hidden="1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hidden="1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hidden="1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hidden="1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hidden="1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hidden="1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hidden="1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hidden="1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hidden="1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46128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196</v>
      </c>
      <c r="AB77" s="1">
        <f t="shared" si="27"/>
        <v>-162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hidden="1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hidden="1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hidden="1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hidden="1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46226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262</v>
      </c>
      <c r="AB81" s="1">
        <f t="shared" si="27"/>
        <v>-129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hidden="1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46226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262</v>
      </c>
      <c r="AB82" s="1">
        <f t="shared" si="27"/>
        <v>-142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hidden="1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hidden="1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hidden="1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hidden="1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hidden="1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hidden="1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hidden="1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hidden="1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hidden="1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hidden="1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hidden="1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hidden="1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hidden="1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hidden="1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hidden="1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hidden="1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hidden="1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hidden="1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hidden="1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hidden="1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hidden="1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hidden="1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hidden="1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hidden="1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hidden="1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hidden="1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hidden="1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hidden="1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hidden="1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hidden="1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hidden="1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hidden="1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hidden="1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hidden="1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hidden="1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hidden="1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hidden="1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hidden="1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hidden="1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hidden="1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hidden="1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hidden="1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hidden="1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hidden="1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hidden="1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hidden="1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46010</v>
      </c>
      <c r="S128" s="1">
        <v>2</v>
      </c>
      <c r="W128" s="1">
        <f t="shared" si="38"/>
        <v>57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5</v>
      </c>
    </row>
    <row r="129" spans="1:40" hidden="1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hidden="1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hidden="1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hidden="1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hidden="1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hidden="1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hidden="1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hidden="1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hidden="1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hidden="1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46317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270</v>
      </c>
      <c r="AB138" s="1">
        <f t="shared" si="45"/>
        <v>-247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hidden="1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hidden="1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hidden="1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hidden="1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hidden="1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hidden="1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hidden="1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hidden="1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hidden="1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hidden="1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hidden="1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hidden="1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hidden="1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hidden="1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hidden="1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hidden="1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hidden="1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hidden="1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hidden="1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hidden="1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hidden="1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hidden="1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hidden="1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hidden="1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hidden="1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hidden="1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hidden="1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hidden="1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hidden="1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hidden="1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hidden="1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hidden="1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hidden="1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hidden="1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hidden="1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hidden="1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hidden="1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hidden="1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hidden="1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hidden="1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hidden="1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hidden="1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hidden="1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hidden="1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hidden="1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hidden="1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46013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4</v>
      </c>
      <c r="AC185" s="1">
        <f t="shared" si="46"/>
        <v>21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hidden="1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hidden="1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hidden="1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hidden="1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hidden="1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hidden="1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hidden="1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hidden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hidden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hidden="1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hidden="1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hidden="1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hidden="1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hidden="1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hidden="1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hidden="1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hidden="1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hidden="1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hidden="1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hidden="1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hidden="1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hidden="1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hidden="1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hidden="1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hidden="1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hidden="1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hidden="1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hidden="1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hidden="1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hidden="1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hidden="1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hidden="1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hidden="1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hidden="1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hidden="1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hidden="1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hidden="1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hidden="1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hidden="1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hidden="1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hidden="1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hidden="1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hidden="1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hidden="1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hidden="1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hidden="1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hidden="1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hidden="1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hidden="1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hidden="1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hidden="1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hidden="1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hidden="1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hidden="1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hidden="1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hidden="1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hidden="1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hidden="1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hidden="1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hidden="1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hidden="1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hidden="1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hidden="1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hidden="1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hidden="1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hidden="1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hidden="1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hidden="1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hidden="1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>
    <filterColumn colId="0">
      <filters>
        <filter val="25246"/>
      </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customXml/itemProps3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2026-06-05T09:23:07Z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