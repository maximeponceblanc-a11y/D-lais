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s délais/"/>
    </mc:Choice>
  </mc:AlternateContent>
  <xr:revisionPtr revIDLastSave="2220" documentId="13_ncr:1_{812CE923-C0E5-444E-8B27-77724A147C38}" xr6:coauthVersionLast="47" xr6:coauthVersionMax="47" xr10:uidLastSave="{FCA40C79-8C7A-4272-8ED2-4977CA1FAD14}"/>
  <bookViews>
    <workbookView xWindow="-108" yWindow="-108" windowWidth="23256" windowHeight="13896" xr2:uid="{478E8588-9645-4D74-8111-5BE0695A9D8D}"/>
  </bookViews>
  <sheets>
    <sheet name="Feuil1" sheetId="1" r:id="rId1"/>
    <sheet name="Feuil3" sheetId="3" r:id="rId2"/>
  </sheets>
  <definedNames>
    <definedName name="_xlnm._FilterDatabase" localSheetId="0" hidden="1">Feuil1!$A$1:$AN$254</definedName>
    <definedName name="_xlnm._FilterDatabase" localSheetId="1" hidden="1">Feuil3!$A$1:$D$162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3" l="1"/>
  <c r="D32" i="3"/>
  <c r="D33" i="3"/>
  <c r="D34" i="3"/>
  <c r="D35" i="3"/>
  <c r="D36" i="3"/>
  <c r="D156" i="3"/>
  <c r="D37" i="3"/>
  <c r="D38" i="3"/>
  <c r="D12" i="3"/>
  <c r="D39" i="3"/>
  <c r="D13" i="3"/>
  <c r="D40" i="3"/>
  <c r="D41" i="3"/>
  <c r="D14" i="3"/>
  <c r="D42" i="3"/>
  <c r="D15" i="3"/>
  <c r="D43" i="3"/>
  <c r="D44" i="3"/>
  <c r="D45" i="3"/>
  <c r="D149" i="3"/>
  <c r="D46" i="3"/>
  <c r="D150" i="3"/>
  <c r="D47" i="3"/>
  <c r="D16" i="3"/>
  <c r="D48" i="3"/>
  <c r="D49" i="3"/>
  <c r="D17" i="3"/>
  <c r="D151" i="3"/>
  <c r="D50" i="3"/>
  <c r="D51" i="3"/>
  <c r="D52" i="3"/>
  <c r="D53" i="3"/>
  <c r="D54" i="3"/>
  <c r="D55" i="3"/>
  <c r="D56" i="3"/>
  <c r="D57" i="3"/>
  <c r="D58" i="3"/>
  <c r="D162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18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7" i="3"/>
  <c r="D19" i="3"/>
  <c r="D93" i="3"/>
  <c r="D94" i="3"/>
  <c r="D9" i="3"/>
  <c r="D95" i="3"/>
  <c r="D96" i="3"/>
  <c r="D97" i="3"/>
  <c r="D98" i="3"/>
  <c r="D99" i="3"/>
  <c r="D100" i="3"/>
  <c r="D101" i="3"/>
  <c r="D102" i="3"/>
  <c r="D103" i="3"/>
  <c r="D104" i="3"/>
  <c r="D105" i="3"/>
  <c r="D106" i="3"/>
  <c r="D20" i="3"/>
  <c r="D107" i="3"/>
  <c r="D108" i="3"/>
  <c r="D21" i="3"/>
  <c r="D10" i="3"/>
  <c r="D109" i="3"/>
  <c r="D2" i="3"/>
  <c r="D110" i="3"/>
  <c r="D111" i="3"/>
  <c r="D112" i="3"/>
  <c r="D113" i="3"/>
  <c r="D4" i="3"/>
  <c r="D5" i="3"/>
  <c r="D114" i="3"/>
  <c r="D3" i="3"/>
  <c r="D28" i="3"/>
  <c r="D22" i="3"/>
  <c r="D23" i="3"/>
  <c r="D115" i="3"/>
  <c r="D8" i="3"/>
  <c r="D116" i="3"/>
  <c r="D117" i="3"/>
  <c r="D147" i="3"/>
  <c r="D118" i="3"/>
  <c r="D119" i="3"/>
  <c r="D157" i="3"/>
  <c r="D120" i="3"/>
  <c r="D121" i="3"/>
  <c r="D122" i="3"/>
  <c r="D123" i="3"/>
  <c r="D152" i="3"/>
  <c r="D124" i="3"/>
  <c r="D125" i="3"/>
  <c r="D161" i="3"/>
  <c r="D126" i="3"/>
  <c r="D24" i="3"/>
  <c r="D127" i="3"/>
  <c r="D128" i="3"/>
  <c r="D129" i="3"/>
  <c r="D25" i="3"/>
  <c r="D130" i="3"/>
  <c r="D131" i="3"/>
  <c r="D132" i="3"/>
  <c r="D133" i="3"/>
  <c r="D158" i="3"/>
  <c r="D148" i="3"/>
  <c r="D153" i="3"/>
  <c r="D154" i="3"/>
  <c r="D159" i="3"/>
  <c r="D26" i="3"/>
  <c r="D29" i="3"/>
  <c r="D134" i="3"/>
  <c r="D6" i="3"/>
  <c r="D135" i="3"/>
  <c r="D136" i="3"/>
  <c r="D137" i="3"/>
  <c r="D138" i="3"/>
  <c r="D139" i="3"/>
  <c r="D11" i="3"/>
  <c r="D140" i="3"/>
  <c r="D27" i="3"/>
  <c r="D146" i="3"/>
  <c r="D141" i="3"/>
  <c r="D142" i="3"/>
  <c r="D143" i="3"/>
  <c r="D144" i="3"/>
  <c r="D160" i="3"/>
  <c r="D145" i="3"/>
  <c r="D155" i="3"/>
  <c r="D30" i="3"/>
  <c r="AL3" i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<sst xmlns="http://schemas.openxmlformats.org/spreadsheetml/2006/main" count="763" uniqueCount="397">
  <si>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</si>
  <si>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</si>
  <si>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</si>
  <si>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</si>
  <si>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</si>
  <si>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</si>
  <si>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</si>
  <si>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</si>
  <si>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</si>
  <si>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</si>
  <si>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</si>
  <si>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</si>
  <si>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</si>
  <si>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</si>
  <si>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</si>
  <si>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</si>
  <si>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</si>
  <si>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</si>
  <si>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</si>
  <si>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</si>
  <si>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</si>
  <si>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</si>
  <si>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</si>
  <si>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</si>
  <si>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</si>
  <si>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</si>
  <si>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</si>
  <si>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</si>
  <si>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</si>
  <si>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</si>
  <si>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</si>
  <si>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</si>
  <si>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</si>
  <si>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</si>
  <si>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</si>
  <si>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</si>
  <si>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</si>
  <si>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</si>
  <si>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</si>
  <si>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</si>
  <si>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</si>
  <si>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</si>
  <si>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</si>
  <si>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</si>
  <si>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</si>
  <si>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</si>
  <si>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</si>
  <si>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</si>
  <si>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</si>
  <si>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</si>
  <si>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</si>
  <si>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</si>
  <si>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</si>
  <si>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</si>
  <si>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</si>
  <si>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</si>
  <si>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</si>
  <si>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</si>
  <si>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</si>
  <si>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</si>
  <si>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</si>
  <si>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</si>
  <si>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</si>
  <si>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</si>
  <si>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</si>
  <si>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</si>
  <si>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</si>
  <si>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</si>
  <si>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</si>
  <si>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</si>
  <si>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</si>
  <si>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</si>
  <si>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</si>
  <si>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</si>
  <si>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</si>
  <si>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</si>
  <si>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</si>
  <si>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</si>
  <si>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</si>
  <si>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</si>
  <si>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</si>
  <si>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</si>
  <si>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</si>
  <si>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</si>
  <si>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</si>
  <si>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</si>
  <si>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</si>
  <si>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</si>
  <si>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</si>
  <si>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</si>
  <si>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</si>
  <si>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</si>
  <si>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</si>
  <si>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</si>
  <si>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</si>
  <si>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</si>
  <si>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</si>
  <si>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</si>
  <si>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</si>
  <si>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</si>
  <si>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</si>
  <si>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</si>
  <si>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</si>
  <si>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</si>
  <si>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</si>
  <si>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</si>
  <si>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</si>
  <si>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</si>
  <si>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</si>
  <si>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</si>
  <si>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</si>
  <si>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</si>
  <si>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</si>
  <si>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</si>
  <si>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</si>
  <si>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</si>
  <si>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</si>
  <si>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</si>
  <si>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</si>
  <si>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</si>
  <si>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</si>
  <si>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</si>
  <si>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</si>
  <si>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</si>
  <si>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</si>
  <si>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</si>
  <si>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</si>
  <si>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</si>
  <si>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</si>
  <si>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</si>
  <si>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</si>
  <si>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</si>
  <si>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</si>
  <si>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</si>
  <si>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</si>
  <si>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</si>
  <si>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</si>
  <si>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</si>
  <si>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</si>
  <si>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</si>
  <si>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</si>
  <si>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</si>
  <si>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</si>
  <si>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</si>
  <si>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</si>
  <si>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</si>
  <si>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</si>
  <si>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</si>
  <si>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</si>
  <si>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</si>
  <si>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</si>
  <si>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</si>
  <si>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</si>
  <si>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</si>
  <si>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</si>
  <si>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</si>
  <si>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</si>
  <si>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</si>
  <si>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</si>
  <si>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</si>
  <si>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</si>
  <si>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</si>
  <si>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</si>
  <si>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</si>
  <si>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</si>
  <si>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</si>
  <si>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</si>
  <si>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</si>
  <si>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</si>
  <si>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</si>
  <si>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</si>
  <si>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</si>
  <si>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</si>
  <si>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</si>
  <si>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</si>
  <si>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</si>
  <si>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</si>
  <si>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</si>
  <si>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</si>
  <si>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</si>
  <si>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</si>
  <si>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</si>
  <si>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</si>
  <si>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</si>
  <si>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</si>
  <si>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</si>
  <si>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</si>
  <si>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</si>
  <si>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</si>
  <si>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</si>
  <si>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</si>
  <si>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</si>
  <si>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</si>
  <si>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</si>
  <si>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</si>
  <si>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</si>
  <si>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</si>
  <si>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</si>
  <si>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</si>
  <si>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</si>
  <si>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</si>
  <si>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</si>
  <si>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</si>
  <si>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</si>
  <si>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</si>
  <si>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</si>
  <si>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</si>
  <si>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</si>
  <si>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</si>
  <si>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</si>
  <si>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</si>
  <si>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</si>
  <si>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</si>
  <si>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</si>
  <si>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</si>
  <si>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</si>
  <si>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</si>
  <si>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</si>
  <si>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</si>
  <si>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</si>
  <si>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</si>
  <si>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</si>
  <si>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</si>
  <si>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</si>
  <si>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</si>
  <si>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</si>
  <si>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</si>
  <si>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</si>
  <si>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</si>
  <si>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</si>
  <si>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</si>
  <si>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</si>
  <si>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</si>
  <si>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</si>
  <si>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</si>
  <si>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</si>
  <si>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</si>
  <si>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</si>
  <si>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</si>
  <si>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</si>
  <si>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</si>
  <si>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</si>
  <si>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</si>
  <si>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</si>
  <si>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</si>
  <si>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</si>
  <si>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</si>
  <si>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</si>
  <si>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</si>
  <si>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</si>
  <si>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</si>
  <si>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</si>
  <si>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</si>
  <si>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</si>
  <si>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</si>
  <si>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</si>
  <si>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</si>
  <si>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</si>
  <si>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</si>
  <si>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</si>
  <si>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</si>
  <si>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</si>
  <si>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</si>
  <si>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</si>
  <si>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</si>
  <si>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</si>
  <si>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</si>
  <si>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</si>
  <si>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</si>
  <si>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</si>
  <si>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</si>
  <si>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</si>
  <si>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</si>
  <si>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</si>
  <si>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</si>
  <si>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</si>
  <si>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</si>
  <si>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</si>
  <si>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</si>
  <si>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</si>
  <si>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</si>
  <si>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</si>
  <si>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</si>
  <si>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</si>
  <si>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</si>
  <si>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</si>
  <si>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</si>
  <si>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</si>
  <si>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</si>
  <si>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</si>
  <si>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</si>
  <si>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</si>
  <si>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</si>
  <si>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</si>
  <si>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</si>
  <si>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</si>
  <si>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</si>
  <si>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</si>
  <si>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</si>
  <si>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</si>
  <si>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</si>
  <si>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</si>
  <si>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</si>
  <si>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</si>
  <si>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</si>
  <si>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</si>
  <si>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</si>
  <si>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</si>
  <si>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</si>
  <si>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</si>
  <si>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</si>
  <si>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</si>
  <si>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</si>
  <si>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</si>
  <si>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</si>
  <si>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</si>
  <si>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</si>
  <si>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</si>
  <si>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</si>
  <si>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</si>
  <si>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</si>
  <si>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</si>
  <si>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</si>
  <si>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</si>
  <si>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</si>
  <si>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</si>
  <si>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</si>
  <si>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</si>
  <si>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</si>
  <si>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</si>
  <si>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</si>
  <si>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</si>
  <si>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</si>
  <si>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</si>
  <si>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</si>
  <si>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</si>
  <si>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</si>
  <si>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</si>
  <si>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</si>
  <si>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</si>
  <si>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</si>
  <si>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</si>
  <si>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</si>
  <si>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</si>
  <si>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</si>
  <si>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</si>
  <si>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</si>
  <si>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</si>
  <si>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</si>
  <si>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</si>
  <si>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</si>
  <si>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</si>
  <si>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</si>
  <si>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</si>
  <si>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</si>
  <si>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</si>
  <si>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</si>
  <si>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</si>
  <si>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</si>
  <si>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</si>
  <si>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</si>
  <si>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</si>
  <si>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</si>
  <si>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</si>
  <si>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</si>
  <si>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</si>
  <si>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</si>
  <si>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</si>
  <si>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</si>
  <si>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</si>
  <si>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</si>
  <si>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</si>
  <si>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</si>
  <si>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</si>
  <si>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</si>
  <si>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</si>
  <si>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</si>
  <si>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</si>
  <si>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</si>
  <si>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</si>
  <si>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</si>
  <si>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</si>
  <si>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</si>
  <si>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</si>
  <si>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</si>
  <si>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</si>
  <si>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</si>
  <si>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</si>
  <si>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</si>
  <si>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</si>
  <si>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</si>
  <si>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</si>
  <si>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</si>
  <si>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</si>
  <si>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</si>
  <si>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</si>
  <si>
    <t>ecart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</si>
</sst>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dimension ref="A1:AN254"/>
  <sheetViews>
    <sheetView tabSelected="1" workbookViewId="0">
      <pane xSplit="1" ySplit="1" topLeftCell="L14" activePane="bottomRight" state="frozen"/>
      <selection pane="topRight" activeCell="B1" sqref="B1"/>
      <selection pane="bottomLeft" activeCell="A4" sqref="A4"/>
      <selection pane="bottomRight" activeCell="P138" sqref="P138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W4" s="1" t="str">
        <f t="shared" si="1"/>
        <v>NON LIVRE</v>
      </c>
      <c r="X4" s="1" t="str">
        <f t="shared" si="2"/>
        <v>NON LIVRE</v>
      </c>
      <c r="Y4" s="1" t="str">
        <f t="shared" si="3"/>
        <v>NON LIVRE</v>
      </c>
      <c r="Z4" s="1" t="str">
        <f t="shared" si="4"/>
        <v>NON LIVRE</v>
      </c>
      <c r="AA4" s="1" t="str">
        <f t="shared" si="5"/>
        <v>NON LIVRE</v>
      </c>
      <c r="AB4" s="1" t="str">
        <f t="shared" si="6"/>
        <v>NON LIVRE</v>
      </c>
      <c r="AC4" s="1" t="str">
        <f t="shared" si="7"/>
        <v>NON LIVRE</v>
      </c>
      <c r="AD4" s="1" t="str">
        <f t="shared" si="8"/>
        <v>NON LIVRE</v>
      </c>
      <c r="AE4" s="1" t="str">
        <f t="shared" si="9"/>
        <v>NON LIVRE</v>
      </c>
      <c r="AF4" s="1" t="str">
        <f t="shared" si="10"/>
        <v>NON LIVRE</v>
      </c>
      <c r="AG4" s="1" t="str">
        <f t="shared" si="11"/>
        <v>NON LIVRE</v>
      </c>
      <c r="AH4" s="1" t="str">
        <f t="shared" si="12"/>
        <v>NON LIVRE</v>
      </c>
      <c r="AI4" s="1" t="str">
        <f t="shared" si="13"/>
        <v>NON LIVRE</v>
      </c>
      <c r="AJ4" s="1" t="str">
        <f t="shared" si="14"/>
        <v>NON LIVRE</v>
      </c>
      <c r="AK4" s="1" t="str">
        <f t="shared" si="15"/>
        <v>NON LIVRE</v>
      </c>
      <c r="AL4" s="1" t="str">
        <f t="shared" si="16"/>
        <v>NON LIVRE</v>
      </c>
      <c r="AM4" s="1" t="str">
        <f t="shared" si="0"/>
        <v>NON LIVRE</v>
      </c>
      <c r="AN4" s="1" t="str">
        <f t="shared" si="17"/>
        <v>NON LIVRE</v>
      </c>
    </row>
    <row r="5" spans="1:40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W5" s="1" t="str">
        <f t="shared" si="1"/>
        <v>NON LIVRE</v>
      </c>
      <c r="X5" s="1" t="str">
        <f t="shared" si="2"/>
        <v>NON LIVRE</v>
      </c>
      <c r="Y5" s="1" t="str">
        <f t="shared" si="3"/>
        <v>NON LIVRE</v>
      </c>
      <c r="Z5" s="1" t="str">
        <f t="shared" si="4"/>
        <v>NON LIVRE</v>
      </c>
      <c r="AA5" s="1" t="str">
        <f t="shared" si="5"/>
        <v>NON LIVRE</v>
      </c>
      <c r="AB5" s="1" t="str">
        <f t="shared" si="6"/>
        <v>NON LIVRE</v>
      </c>
      <c r="AC5" s="1" t="str">
        <f t="shared" si="7"/>
        <v>NON LIVRE</v>
      </c>
      <c r="AD5" s="1" t="str">
        <f t="shared" si="8"/>
        <v>NON LIVRE</v>
      </c>
      <c r="AE5" s="1" t="str">
        <f t="shared" si="9"/>
        <v>NON LIVRE</v>
      </c>
      <c r="AF5" s="1" t="str">
        <f t="shared" si="10"/>
        <v>NON LIVRE</v>
      </c>
      <c r="AG5" s="1" t="str">
        <f t="shared" si="11"/>
        <v>NON LIVRE</v>
      </c>
      <c r="AH5" s="1" t="str">
        <f t="shared" si="12"/>
        <v>NON LIVRE</v>
      </c>
      <c r="AI5" s="1" t="str">
        <f t="shared" si="13"/>
        <v>NON LIVRE</v>
      </c>
      <c r="AJ5" s="1" t="str">
        <f t="shared" si="14"/>
        <v>NON LIVRE</v>
      </c>
      <c r="AK5" s="1" t="str">
        <f t="shared" ref="AK5:AK37" si="18">IFERROR(IF($R5="","NON LIVRE",IF($L5="","PAS D'IMPRESSION",IF($O5="","PAS DE DATE DEPART EN PROD TIRAGES ET ACHATS",NETWORKDAYS($L5,$O5)-1))),$O5)</f>
        <v>NON LIVRE</v>
      </c>
      <c r="AL5" s="1" t="str">
        <f t="shared" si="16"/>
        <v>NON LIVRE</v>
      </c>
      <c r="AM5" s="1" t="str">
        <f t="shared" si="0"/>
        <v>NON LIVRE</v>
      </c>
      <c r="AN5" s="1" t="str">
        <f t="shared" si="17"/>
        <v>NON LIVRE</v>
      </c>
    </row>
    <row r="6" spans="1:40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W6" s="1" t="str">
        <f t="shared" si="1"/>
        <v>NON LIVRE</v>
      </c>
      <c r="X6" s="1" t="str">
        <f t="shared" si="2"/>
        <v>NON LIVRE</v>
      </c>
      <c r="Y6" s="1" t="str">
        <f t="shared" si="3"/>
        <v>NON LIVRE</v>
      </c>
      <c r="Z6" s="1" t="str">
        <f t="shared" si="4"/>
        <v>NON LIVRE</v>
      </c>
      <c r="AA6" s="1" t="str">
        <f t="shared" si="5"/>
        <v>NON LIVRE</v>
      </c>
      <c r="AB6" s="1" t="str">
        <f t="shared" si="6"/>
        <v>NON LIVRE</v>
      </c>
      <c r="AC6" s="1" t="str">
        <f t="shared" si="7"/>
        <v>NON LIVRE</v>
      </c>
      <c r="AD6" s="1" t="str">
        <f t="shared" si="8"/>
        <v>NON LIVRE</v>
      </c>
      <c r="AE6" s="1" t="str">
        <f t="shared" si="9"/>
        <v>NON LIVRE</v>
      </c>
      <c r="AF6" s="1" t="str">
        <f t="shared" si="10"/>
        <v>NON LIVRE</v>
      </c>
      <c r="AG6" s="1" t="str">
        <f t="shared" si="11"/>
        <v>NON LIVRE</v>
      </c>
      <c r="AH6" s="1" t="str">
        <f t="shared" si="12"/>
        <v>NON LIVRE</v>
      </c>
      <c r="AI6" s="1" t="str">
        <f t="shared" si="13"/>
        <v>NON LIVRE</v>
      </c>
      <c r="AJ6" s="1" t="str">
        <f t="shared" si="14"/>
        <v>NON LIVRE</v>
      </c>
      <c r="AK6" s="1" t="str">
        <f t="shared" si="18"/>
        <v>NON LIVRE</v>
      </c>
      <c r="AL6" s="1" t="str">
        <f t="shared" si="16"/>
        <v>NON LIVRE</v>
      </c>
      <c r="AM6" s="1" t="str">
        <f t="shared" si="0"/>
        <v>NON LIVRE</v>
      </c>
      <c r="AN6" s="1" t="str">
        <f t="shared" si="17"/>
        <v>NON LIVRE</v>
      </c>
    </row>
    <row r="7" spans="1:40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W7" s="1" t="str">
        <f t="shared" si="1"/>
        <v>NON LIVRE</v>
      </c>
      <c r="X7" s="1" t="str">
        <f t="shared" si="2"/>
        <v>NON LIVRE</v>
      </c>
      <c r="Y7" s="1" t="str">
        <f t="shared" si="3"/>
        <v>NON LIVRE</v>
      </c>
      <c r="Z7" s="1" t="str">
        <f t="shared" si="4"/>
        <v>NON LIVRE</v>
      </c>
      <c r="AA7" s="1" t="str">
        <f t="shared" si="5"/>
        <v>NON LIVRE</v>
      </c>
      <c r="AB7" s="1" t="str">
        <f t="shared" si="6"/>
        <v>NON LIVRE</v>
      </c>
      <c r="AC7" s="1" t="str">
        <f t="shared" si="7"/>
        <v>NON LIVRE</v>
      </c>
      <c r="AD7" s="1" t="str">
        <f t="shared" si="8"/>
        <v>NON LIVRE</v>
      </c>
      <c r="AE7" s="1" t="str">
        <f t="shared" si="9"/>
        <v>NON LIVRE</v>
      </c>
      <c r="AF7" s="1" t="str">
        <f t="shared" si="10"/>
        <v>NON LIVRE</v>
      </c>
      <c r="AG7" s="1" t="str">
        <f t="shared" si="11"/>
        <v>NON LIVRE</v>
      </c>
      <c r="AH7" s="1" t="str">
        <f t="shared" si="12"/>
        <v>NON LIVRE</v>
      </c>
      <c r="AI7" s="1" t="str">
        <f t="shared" si="13"/>
        <v>NON LIVRE</v>
      </c>
      <c r="AJ7" s="1" t="str">
        <f t="shared" si="14"/>
        <v>NON LIVRE</v>
      </c>
      <c r="AK7" s="1" t="str">
        <f t="shared" si="18"/>
        <v>NON LIVRE</v>
      </c>
      <c r="AL7" s="1" t="str">
        <f t="shared" si="16"/>
        <v>NON LIVRE</v>
      </c>
      <c r="AM7" s="1" t="str">
        <f t="shared" si="0"/>
        <v>NON LIVRE</v>
      </c>
      <c r="AN7" s="1" t="str">
        <f t="shared" si="17"/>
        <v>NON LIVRE</v>
      </c>
    </row>
    <row r="8" spans="1:40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45855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45</v>
      </c>
      <c r="AC14" s="1">
        <f t="shared" si="7"/>
        <v>0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45855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45</v>
      </c>
      <c r="AC15" s="1">
        <f t="shared" si="7"/>
        <v>0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 t="s">
        <v>369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45975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164</v>
      </c>
      <c r="AA17" s="1" t="str">
        <f t="shared" si="5"/>
        <v>DEVIS</v>
      </c>
      <c r="AB17" s="1">
        <f t="shared" si="6"/>
        <v>45797</v>
      </c>
      <c r="AC17" s="1">
        <f t="shared" si="7"/>
        <v>128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130</v>
      </c>
      <c r="AM17" s="1">
        <f>IFERROR(IF($R17="","NON LIVRE",IF(MAX($N17,$O17)=0,"PAS D'EXPEDITION DE MATIERE, D'IMPRESSION, OU D'ACHAT",NETWORKDAYS(MAX($N17,$O17),$Q17)-1)),"PAS D'EXPEDITION DE MATIERE, D'IMPRESSION, OU D'ACHAT")</f>
        <v>-112</v>
      </c>
      <c r="AN17" s="1">
        <f t="shared" si="17"/>
        <v>120</v>
      </c>
    </row>
    <row r="18" spans="1:40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46218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327</v>
      </c>
      <c r="AJ20" s="1">
        <f t="shared" si="14"/>
        <v>-250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M37" s="2">
        <v>45904</v>
      </c>
      <c r="W37" s="1" t="str">
        <f t="shared" si="1"/>
        <v>NON LIVRE</v>
      </c>
      <c r="X37" s="1" t="str">
        <f t="shared" si="2"/>
        <v>NON LIVRE</v>
      </c>
      <c r="Y37" s="1" t="str">
        <f t="shared" si="3"/>
        <v>NON LIVRE</v>
      </c>
      <c r="Z37" s="1" t="str">
        <f t="shared" si="4"/>
        <v>NON LIVRE</v>
      </c>
      <c r="AA37" s="1" t="str">
        <f t="shared" si="5"/>
        <v>NON LIVRE</v>
      </c>
      <c r="AB37" s="1" t="str">
        <f t="shared" si="6"/>
        <v>NON LIVRE</v>
      </c>
      <c r="AC37" s="1" t="str">
        <f t="shared" si="7"/>
        <v>NON LIVRE</v>
      </c>
      <c r="AD37" s="1" t="str">
        <f t="shared" si="8"/>
        <v>NON LIVRE</v>
      </c>
      <c r="AE37" s="1" t="str">
        <f t="shared" si="9"/>
        <v>NON LIVRE</v>
      </c>
      <c r="AF37" s="1" t="str">
        <f t="shared" si="10"/>
        <v>NON LIVRE</v>
      </c>
      <c r="AG37" s="1" t="str">
        <f t="shared" si="11"/>
        <v>NON LIVRE</v>
      </c>
      <c r="AH37" s="1" t="str">
        <f t="shared" si="12"/>
        <v>NON LIVRE</v>
      </c>
      <c r="AI37" s="1" t="str">
        <f t="shared" si="13"/>
        <v>NON LIVRE</v>
      </c>
      <c r="AJ37" s="1" t="str">
        <f t="shared" si="14"/>
        <v>NON LIVRE</v>
      </c>
      <c r="AK37" s="1" t="str">
        <f t="shared" si="18"/>
        <v>NON LIVRE</v>
      </c>
      <c r="AL37" s="1" t="str">
        <f t="shared" si="16"/>
        <v>NON LIVRE</v>
      </c>
      <c r="AM37" s="1" t="str">
        <f t="shared" si="0"/>
        <v>NON LIVRE</v>
      </c>
      <c r="AN37" s="1" t="str">
        <f t="shared" si="17"/>
        <v>NON LIVRE</v>
      </c>
    </row>
    <row r="38" spans="1:40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45902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G43" s="2">
        <v>45980</v>
      </c>
      <c r="H43" s="2">
        <v>45999</v>
      </c>
      <c r="I43" s="2">
        <v>46014</v>
      </c>
      <c r="J43" s="2">
        <v>46042</v>
      </c>
      <c r="L43" s="2">
        <v>46139</v>
      </c>
      <c r="M43" s="2">
        <v>46148</v>
      </c>
      <c r="N43" s="2">
        <v>46057</v>
      </c>
      <c r="O43" s="2">
        <v>46155</v>
      </c>
      <c r="P43" s="2">
        <v>46080</v>
      </c>
      <c r="Q43" s="2">
        <v>46080</v>
      </c>
      <c r="R43" s="2">
        <v>46129</v>
      </c>
      <c r="S43" s="1">
        <v>6</v>
      </c>
      <c r="W43" s="1">
        <f t="shared" si="1"/>
        <v>225</v>
      </c>
      <c r="X43" s="1">
        <f t="shared" si="2"/>
        <v>190</v>
      </c>
      <c r="Y43" s="1">
        <f t="shared" si="3"/>
        <v>0</v>
      </c>
      <c r="Z43" s="1">
        <f t="shared" si="4"/>
        <v>173</v>
      </c>
      <c r="AA43" s="1">
        <f t="shared" si="5"/>
        <v>118</v>
      </c>
      <c r="AB43" s="1">
        <f t="shared" si="6"/>
        <v>13</v>
      </c>
      <c r="AC43" s="1">
        <f t="shared" si="7"/>
        <v>42</v>
      </c>
      <c r="AD43" s="1">
        <f t="shared" si="8"/>
        <v>243</v>
      </c>
      <c r="AE43" s="1">
        <f t="shared" si="9"/>
        <v>231</v>
      </c>
      <c r="AF43" s="1" t="str">
        <f t="shared" si="10"/>
        <v>PAS DE DATE PAPIER</v>
      </c>
      <c r="AG43" s="1">
        <f t="shared" si="11"/>
        <v>238</v>
      </c>
      <c r="AH43" s="1">
        <f t="shared" si="12"/>
        <v>142</v>
      </c>
      <c r="AI43" s="1">
        <f t="shared" si="13"/>
        <v>162</v>
      </c>
      <c r="AJ43" s="1">
        <f t="shared" si="14"/>
        <v>69</v>
      </c>
      <c r="AK43" s="1">
        <f t="shared" si="19"/>
        <v>12</v>
      </c>
      <c r="AL43" s="1">
        <f t="shared" si="16"/>
        <v>70</v>
      </c>
      <c r="AM43" s="1">
        <f t="shared" si="0"/>
        <v>-55</v>
      </c>
      <c r="AN43" s="1">
        <f t="shared" si="17"/>
        <v>35</v>
      </c>
    </row>
    <row r="44" spans="1:40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W46" s="1" t="str">
        <f t="shared" si="1"/>
        <v>NON LIVRE</v>
      </c>
      <c r="X46" s="1" t="str">
        <f t="shared" si="2"/>
        <v>NON LIVRE</v>
      </c>
      <c r="Y46" s="1" t="str">
        <f t="shared" si="3"/>
        <v>NON LIVRE</v>
      </c>
      <c r="Z46" s="1" t="str">
        <f t="shared" si="4"/>
        <v>NON LIVRE</v>
      </c>
      <c r="AA46" s="1" t="str">
        <f t="shared" si="5"/>
        <v>NON LIVRE</v>
      </c>
      <c r="AB46" s="1" t="str">
        <f t="shared" si="6"/>
        <v>NON LIVRE</v>
      </c>
      <c r="AC46" s="1" t="str">
        <f t="shared" si="7"/>
        <v>NON LIVRE</v>
      </c>
      <c r="AD46" s="1" t="str">
        <f t="shared" si="8"/>
        <v>NON LIVRE</v>
      </c>
      <c r="AE46" s="1" t="str">
        <f t="shared" si="9"/>
        <v>NON LIVRE</v>
      </c>
      <c r="AF46" s="1" t="str">
        <f t="shared" si="10"/>
        <v>NON LIVRE</v>
      </c>
      <c r="AG46" s="1" t="str">
        <f t="shared" si="11"/>
        <v>NON LIVRE</v>
      </c>
      <c r="AH46" s="1" t="str">
        <f t="shared" si="12"/>
        <v>NON LIVRE</v>
      </c>
      <c r="AI46" s="1" t="str">
        <f t="shared" si="13"/>
        <v>NON LIVRE</v>
      </c>
      <c r="AJ46" s="1" t="str">
        <f t="shared" si="14"/>
        <v>NON LIVRE</v>
      </c>
      <c r="AK46" s="1" t="str">
        <f t="shared" si="19"/>
        <v>NON LIVRE</v>
      </c>
      <c r="AL46" s="1" t="str">
        <f t="shared" si="16"/>
        <v>NON LIVRE</v>
      </c>
      <c r="AM46" s="1" t="str">
        <f t="shared" si="0"/>
        <v>NON LIVRE</v>
      </c>
      <c r="AN46" s="1" t="str">
        <f t="shared" si="17"/>
        <v>NON LIVRE</v>
      </c>
    </row>
    <row r="47" spans="1:40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46128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196</v>
      </c>
      <c r="AB77" s="1">
        <f t="shared" si="27"/>
        <v>-162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46226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262</v>
      </c>
      <c r="AB81" s="1">
        <f t="shared" si="27"/>
        <v>-129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46226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262</v>
      </c>
      <c r="AB82" s="1">
        <f t="shared" si="27"/>
        <v>-142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46045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20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46010</v>
      </c>
      <c r="S128" s="1">
        <v>2</v>
      </c>
      <c r="W128" s="1">
        <f t="shared" si="38"/>
        <v>57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5</v>
      </c>
    </row>
    <row r="129" spans="1:40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46038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5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46037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1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46031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15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46317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270</v>
      </c>
      <c r="AB138" s="1">
        <f t="shared" si="45"/>
        <v>-247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W150" s="1" t="str">
        <f t="shared" si="38"/>
        <v>NON LIVRE</v>
      </c>
      <c r="X150" s="1" t="str">
        <f t="shared" si="39"/>
        <v>NON LIVRE</v>
      </c>
      <c r="Y150" s="1" t="str">
        <f t="shared" si="40"/>
        <v>NON LIVRE</v>
      </c>
      <c r="Z150" s="1" t="str">
        <f t="shared" si="44"/>
        <v>NON LIVRE</v>
      </c>
      <c r="AA150" s="1" t="str">
        <f t="shared" si="41"/>
        <v>NON LIVRE</v>
      </c>
      <c r="AB150" s="1" t="str">
        <f t="shared" si="45"/>
        <v>NON LIVRE</v>
      </c>
      <c r="AC150" s="1" t="str">
        <f t="shared" si="46"/>
        <v>NON LIVRE</v>
      </c>
      <c r="AD150" s="1" t="str">
        <f t="shared" si="42"/>
        <v>NON LIVRE</v>
      </c>
      <c r="AE150" s="1" t="str">
        <f t="shared" si="47"/>
        <v>NON LIVRE</v>
      </c>
      <c r="AF150" s="1" t="str">
        <f t="shared" si="48"/>
        <v>NON LIVRE</v>
      </c>
      <c r="AG150" s="1" t="str">
        <f t="shared" si="49"/>
        <v>NON LIVRE</v>
      </c>
      <c r="AH150" s="1" t="str">
        <f t="shared" si="50"/>
        <v>NON LIVRE</v>
      </c>
      <c r="AI150" s="1" t="str">
        <f t="shared" si="51"/>
        <v>NON LIVRE</v>
      </c>
      <c r="AJ150" s="1" t="str">
        <f t="shared" si="52"/>
        <v>NON LIVRE</v>
      </c>
      <c r="AK150" s="1" t="str">
        <f t="shared" si="37"/>
        <v>NON LIVRE</v>
      </c>
      <c r="AL150" s="1" t="str">
        <f t="shared" si="53"/>
        <v>NON LIVRE</v>
      </c>
      <c r="AM150" s="1" t="str">
        <f t="shared" si="43"/>
        <v>NON LIVRE</v>
      </c>
      <c r="AN150" s="1" t="str">
        <f t="shared" si="54"/>
        <v>NON LIVRE</v>
      </c>
    </row>
    <row r="151" spans="1:40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W158" s="1" t="str">
        <f t="shared" si="38"/>
        <v>NON LIVRE</v>
      </c>
      <c r="X158" s="1" t="str">
        <f t="shared" si="39"/>
        <v>NON LIVRE</v>
      </c>
      <c r="Y158" s="1" t="str">
        <f t="shared" si="40"/>
        <v>NON LIVRE</v>
      </c>
      <c r="Z158" s="1" t="str">
        <f t="shared" si="44"/>
        <v>NON LIVRE</v>
      </c>
      <c r="AA158" s="1" t="str">
        <f t="shared" si="41"/>
        <v>NON LIVRE</v>
      </c>
      <c r="AB158" s="1" t="str">
        <f t="shared" si="45"/>
        <v>NON LIVRE</v>
      </c>
      <c r="AC158" s="1" t="str">
        <f t="shared" si="46"/>
        <v>NON LIVRE</v>
      </c>
      <c r="AD158" s="1" t="str">
        <f t="shared" si="42"/>
        <v>NON LIVRE</v>
      </c>
      <c r="AE158" s="1" t="str">
        <f t="shared" si="47"/>
        <v>NON LIVRE</v>
      </c>
      <c r="AF158" s="1" t="str">
        <f t="shared" si="48"/>
        <v>NON LIVRE</v>
      </c>
      <c r="AG158" s="1" t="str">
        <f t="shared" si="49"/>
        <v>NON LIVRE</v>
      </c>
      <c r="AH158" s="1" t="str">
        <f t="shared" si="50"/>
        <v>NON LIVRE</v>
      </c>
      <c r="AI158" s="1" t="str">
        <f t="shared" si="51"/>
        <v>NON LIVRE</v>
      </c>
      <c r="AJ158" s="1" t="str">
        <f t="shared" si="52"/>
        <v>NON LIVRE</v>
      </c>
      <c r="AK158" s="1" t="str">
        <f t="shared" si="37"/>
        <v>NON LIVRE</v>
      </c>
      <c r="AL158" s="1" t="str">
        <f t="shared" si="53"/>
        <v>NON LIVRE</v>
      </c>
      <c r="AM158" s="1" t="str">
        <f t="shared" si="43"/>
        <v>NON LIVRE</v>
      </c>
      <c r="AN158" s="1" t="str">
        <f t="shared" si="54"/>
        <v>NON LIVRE</v>
      </c>
    </row>
    <row r="159" spans="1:40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45993</v>
      </c>
      <c r="I174" s="2">
        <v>46008</v>
      </c>
      <c r="W174" s="1" t="str">
        <f t="shared" si="38"/>
        <v>NON LIVRE</v>
      </c>
      <c r="X174" s="1" t="str">
        <f t="shared" si="39"/>
        <v>NON LIVRE</v>
      </c>
      <c r="Y174" s="1" t="str">
        <f t="shared" si="40"/>
        <v>NON LIVRE</v>
      </c>
      <c r="Z174" s="1" t="str">
        <f t="shared" si="44"/>
        <v>NON LIVRE</v>
      </c>
      <c r="AA174" s="1" t="str">
        <f t="shared" si="41"/>
        <v>NON LIVRE</v>
      </c>
      <c r="AB174" s="1" t="str">
        <f t="shared" si="45"/>
        <v>NON LIVRE</v>
      </c>
      <c r="AC174" s="1" t="str">
        <f t="shared" si="46"/>
        <v>NON LIVRE</v>
      </c>
      <c r="AD174" s="1" t="str">
        <f t="shared" si="42"/>
        <v>NON LIVRE</v>
      </c>
      <c r="AE174" s="1" t="str">
        <f t="shared" si="47"/>
        <v>NON LIVRE</v>
      </c>
      <c r="AF174" s="1" t="str">
        <f t="shared" si="48"/>
        <v>NON LIVRE</v>
      </c>
      <c r="AG174" s="1" t="str">
        <f t="shared" si="49"/>
        <v>NON LIVRE</v>
      </c>
      <c r="AH174" s="1" t="str">
        <f t="shared" si="50"/>
        <v>NON LIVRE</v>
      </c>
      <c r="AI174" s="1" t="str">
        <f t="shared" si="51"/>
        <v>NON LIVRE</v>
      </c>
      <c r="AJ174" s="1" t="str">
        <f t="shared" si="52"/>
        <v>NON LIVRE</v>
      </c>
      <c r="AK174" s="1" t="str">
        <f t="shared" si="55"/>
        <v>NON LIVRE</v>
      </c>
      <c r="AL174" s="1" t="str">
        <f t="shared" si="53"/>
        <v>NON LIVRE</v>
      </c>
      <c r="AM174" s="1" t="str">
        <f t="shared" si="43"/>
        <v>NON LIVRE</v>
      </c>
      <c r="AN174" s="1" t="str">
        <f t="shared" si="54"/>
        <v>NON LIVRE</v>
      </c>
    </row>
    <row r="175" spans="1:40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W184" s="1" t="str">
        <f t="shared" si="38"/>
        <v>NON LIVRE</v>
      </c>
      <c r="X184" s="1" t="str">
        <f t="shared" si="39"/>
        <v>NON LIVRE</v>
      </c>
      <c r="Y184" s="1" t="str">
        <f t="shared" si="40"/>
        <v>NON LIVRE</v>
      </c>
      <c r="Z184" s="1" t="str">
        <f t="shared" si="44"/>
        <v>NON LIVRE</v>
      </c>
      <c r="AA184" s="1" t="str">
        <f t="shared" si="41"/>
        <v>NON LIVRE</v>
      </c>
      <c r="AB184" s="1" t="str">
        <f t="shared" si="45"/>
        <v>NON LIVRE</v>
      </c>
      <c r="AC184" s="1" t="str">
        <f t="shared" si="46"/>
        <v>NON LIVRE</v>
      </c>
      <c r="AD184" s="1" t="str">
        <f t="shared" si="42"/>
        <v>NON LIVRE</v>
      </c>
      <c r="AE184" s="1" t="str">
        <f t="shared" si="47"/>
        <v>NON LIVRE</v>
      </c>
      <c r="AF184" s="1" t="str">
        <f t="shared" si="48"/>
        <v>NON LIVRE</v>
      </c>
      <c r="AG184" s="1" t="str">
        <f t="shared" si="49"/>
        <v>NON LIVRE</v>
      </c>
      <c r="AH184" s="1" t="str">
        <f t="shared" si="50"/>
        <v>NON LIVRE</v>
      </c>
      <c r="AI184" s="1" t="str">
        <f t="shared" si="51"/>
        <v>NON LIVRE</v>
      </c>
      <c r="AJ184" s="1" t="str">
        <f t="shared" si="52"/>
        <v>NON LIVRE</v>
      </c>
      <c r="AK184" s="1" t="str">
        <f t="shared" si="55"/>
        <v>NON LIVRE</v>
      </c>
      <c r="AL184" s="1" t="str">
        <f t="shared" si="53"/>
        <v>NON LIVRE</v>
      </c>
      <c r="AM184" s="1" t="str">
        <f t="shared" si="43"/>
        <v>NON LIVRE</v>
      </c>
      <c r="AN184" s="1" t="str">
        <f t="shared" si="54"/>
        <v>NON LIVRE</v>
      </c>
    </row>
    <row r="185" spans="1:40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46378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265</v>
      </c>
      <c r="AC185" s="1">
        <f t="shared" si="46"/>
        <v>-242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M187" s="2">
        <v>46058</v>
      </c>
      <c r="W187" s="1" t="str">
        <f t="shared" si="38"/>
        <v>NON LIVRE</v>
      </c>
      <c r="X187" s="1" t="str">
        <f t="shared" si="39"/>
        <v>NON LIVRE</v>
      </c>
      <c r="Y187" s="1" t="str">
        <f t="shared" si="40"/>
        <v>NON LIVRE</v>
      </c>
      <c r="Z187" s="1" t="str">
        <f t="shared" si="44"/>
        <v>NON LIVRE</v>
      </c>
      <c r="AA187" s="1" t="str">
        <f t="shared" si="41"/>
        <v>NON LIVRE</v>
      </c>
      <c r="AB187" s="1" t="str">
        <f t="shared" si="45"/>
        <v>NON LIVRE</v>
      </c>
      <c r="AC187" s="1" t="str">
        <f t="shared" si="46"/>
        <v>NON LIVRE</v>
      </c>
      <c r="AD187" s="1" t="str">
        <f t="shared" si="42"/>
        <v>NON LIVRE</v>
      </c>
      <c r="AE187" s="1" t="str">
        <f t="shared" si="47"/>
        <v>NON LIVRE</v>
      </c>
      <c r="AF187" s="1" t="str">
        <f t="shared" si="48"/>
        <v>NON LIVRE</v>
      </c>
      <c r="AG187" s="1" t="str">
        <f t="shared" si="49"/>
        <v>NON LIVRE</v>
      </c>
      <c r="AH187" s="1" t="str">
        <f t="shared" si="50"/>
        <v>NON LIVRE</v>
      </c>
      <c r="AI187" s="1" t="str">
        <f t="shared" si="51"/>
        <v>NON LIVRE</v>
      </c>
      <c r="AJ187" s="1" t="str">
        <f t="shared" si="52"/>
        <v>NON LIVRE</v>
      </c>
      <c r="AK187" s="1" t="str">
        <f t="shared" si="55"/>
        <v>NON LIVRE</v>
      </c>
      <c r="AL187" s="1" t="str">
        <f t="shared" si="53"/>
        <v>NON LIVRE</v>
      </c>
      <c r="AM187" s="1" t="str">
        <f t="shared" si="43"/>
        <v>NON LIVRE</v>
      </c>
      <c r="AN187" s="1" t="str">
        <f t="shared" si="54"/>
        <v>NON LIVRE</v>
      </c>
    </row>
    <row r="188" spans="1:40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4" si="56">IF($R191="","NON LIVRE",NETWORKDAYS($F191,$R191)-1)</f>
        <v>106</v>
      </c>
      <c r="X191" s="1">
        <f t="shared" ref="X191:X254" si="57">IF($Q191="","NON LIVRE",NETWORKDAYS($F191,$Q191)-1)</f>
        <v>101</v>
      </c>
      <c r="Y191" s="1">
        <f t="shared" ref="Y191:Y254" si="58">IF($Q191="","NON LIVRE",NETWORKDAYS($P191,$Q191)-1)</f>
        <v>-12</v>
      </c>
      <c r="Z191" s="1">
        <f t="shared" si="44"/>
        <v>79</v>
      </c>
      <c r="AA191" s="1">
        <f t="shared" ref="AA191:AA254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4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4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4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4" si="63">IFERROR(IF($R195="","NON LIVRE",IF($H195="","PAS DE COMMANDE MATIERE",NETWORKDAYS($G195,$H195)-1)),$H195)</f>
        <v>46051</v>
      </c>
      <c r="AC195" s="1">
        <f t="shared" ref="AC195:AC254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4" si="65">IFERROR(IF($R195="","NON LIVRE",IF($L195="","PAS DE DATE IMPRESSION",NETWORKDAYS($F195,$L195)-1)),$L195)</f>
        <v>11</v>
      </c>
      <c r="AF195" s="1" t="str">
        <f t="shared" ref="AF195:AF254" si="66">IFERROR(IF($R195="","NON LIVRE",IF($K195="","PAS DE DATE PAPIER",NETWORKDAYS($F195,$K195)-1)),$K195)</f>
        <v>PAS DE DATE PAPIER</v>
      </c>
      <c r="AG195" s="1" t="str">
        <f t="shared" ref="AG195:AG254" si="67">IFERROR(IF($R195="","NON LIVRE",IF($M195="","PAS DE DATE CARTON",NETWORKDAYS($F195,$M195)-1)),$M195)</f>
        <v>PAS DE DATE CARTON</v>
      </c>
      <c r="AH195" s="1">
        <f t="shared" ref="AH195:AH254" si="68">IFERROR(IF($R195="","NON LIVRE",IF($I195="","PAS DE DATE FICHIER",NETWORKDAYS($F195,$I195)-1)),$I195)</f>
        <v>1</v>
      </c>
      <c r="AI195" s="1" t="str">
        <f t="shared" ref="AI195:AI254" si="69">IFERROR(IF($R195="","NON LIVRE",IF($J195="","PAS DE DATE VALIDATION MODELE CLIENT",NETWORKDAYS($F195,$J195)-1)),$J195)</f>
        <v>ANC FAB</v>
      </c>
      <c r="AJ195" s="1">
        <f t="shared" ref="AJ195:AJ254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4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x14ac:dyDescent="0.3">
      <c r="A203" s="1">
        <v>26011</v>
      </c>
      <c r="W203" s="1" t="str">
        <f t="shared" si="56"/>
        <v>NON LIVRE</v>
      </c>
      <c r="X203" s="1" t="str">
        <f t="shared" si="57"/>
        <v>NON LIVRE</v>
      </c>
      <c r="Y203" s="1" t="str">
        <f t="shared" si="58"/>
        <v>NON LIVRE</v>
      </c>
      <c r="Z203" s="1" t="str">
        <f t="shared" si="62"/>
        <v>NON LIVRE</v>
      </c>
      <c r="AA203" s="1" t="str">
        <f t="shared" si="59"/>
        <v>NON LIVRE</v>
      </c>
      <c r="AB203" s="1" t="str">
        <f t="shared" si="63"/>
        <v>NON LIVRE</v>
      </c>
      <c r="AC203" s="1" t="str">
        <f t="shared" si="64"/>
        <v>NON LIVRE</v>
      </c>
      <c r="AD203" s="1" t="str">
        <f t="shared" si="60"/>
        <v>NON LIVRE</v>
      </c>
      <c r="AE203" s="1" t="str">
        <f t="shared" si="65"/>
        <v>NON LIVRE</v>
      </c>
      <c r="AF203" s="1" t="str">
        <f t="shared" si="66"/>
        <v>NON LIVRE</v>
      </c>
      <c r="AG203" s="1" t="str">
        <f t="shared" si="67"/>
        <v>NON LIVRE</v>
      </c>
      <c r="AH203" s="1" t="str">
        <f t="shared" si="68"/>
        <v>NON LIVRE</v>
      </c>
      <c r="AI203" s="1" t="str">
        <f t="shared" si="69"/>
        <v>NON LIVRE</v>
      </c>
      <c r="AJ203" s="1" t="str">
        <f t="shared" si="70"/>
        <v>NON LIVRE</v>
      </c>
      <c r="AK203" s="1" t="str">
        <f t="shared" si="55"/>
        <v>NON LIVRE</v>
      </c>
      <c r="AL203" s="1" t="str">
        <f t="shared" si="71"/>
        <v>NON LIVRE</v>
      </c>
      <c r="AM203" s="1" t="str">
        <f t="shared" si="61"/>
        <v>NON LIVRE</v>
      </c>
      <c r="AN203" s="1" t="str">
        <f t="shared" si="72"/>
        <v>NON LIVRE</v>
      </c>
    </row>
    <row r="204" spans="1:40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x14ac:dyDescent="0.3">
      <c r="A205" s="1">
        <v>26013</v>
      </c>
      <c r="W205" s="1" t="str">
        <f t="shared" si="56"/>
        <v>NON LIVRE</v>
      </c>
      <c r="X205" s="1" t="str">
        <f t="shared" si="57"/>
        <v>NON LIVRE</v>
      </c>
      <c r="Y205" s="1" t="str">
        <f t="shared" si="58"/>
        <v>NON LIVRE</v>
      </c>
      <c r="Z205" s="1" t="str">
        <f t="shared" si="62"/>
        <v>NON LIVRE</v>
      </c>
      <c r="AA205" s="1" t="str">
        <f t="shared" si="59"/>
        <v>NON LIVRE</v>
      </c>
      <c r="AB205" s="1" t="str">
        <f t="shared" si="63"/>
        <v>NON LIVRE</v>
      </c>
      <c r="AC205" s="1" t="str">
        <f t="shared" si="64"/>
        <v>NON LIVRE</v>
      </c>
      <c r="AD205" s="1" t="str">
        <f t="shared" si="60"/>
        <v>NON LIVRE</v>
      </c>
      <c r="AE205" s="1" t="str">
        <f t="shared" si="65"/>
        <v>NON LIVRE</v>
      </c>
      <c r="AF205" s="1" t="str">
        <f t="shared" si="66"/>
        <v>NON LIVRE</v>
      </c>
      <c r="AG205" s="1" t="str">
        <f t="shared" si="67"/>
        <v>NON LIVRE</v>
      </c>
      <c r="AH205" s="1" t="str">
        <f t="shared" si="68"/>
        <v>NON LIVRE</v>
      </c>
      <c r="AI205" s="1" t="str">
        <f t="shared" si="69"/>
        <v>NON LIVRE</v>
      </c>
      <c r="AJ205" s="1" t="str">
        <f t="shared" si="70"/>
        <v>NON LIVRE</v>
      </c>
      <c r="AK205" s="1" t="str">
        <f t="shared" si="55"/>
        <v>NON LIVRE</v>
      </c>
      <c r="AL205" s="1" t="str">
        <f t="shared" si="71"/>
        <v>NON LIVRE</v>
      </c>
      <c r="AM205" s="1" t="str">
        <f t="shared" si="61"/>
        <v>NON LIVRE</v>
      </c>
      <c r="AN205" s="1" t="str">
        <f t="shared" si="72"/>
        <v>NON LIVRE</v>
      </c>
    </row>
    <row r="206" spans="1:40" x14ac:dyDescent="0.3">
      <c r="A206" s="1">
        <v>26014</v>
      </c>
      <c r="W206" s="1" t="str">
        <f t="shared" si="56"/>
        <v>NON LIVRE</v>
      </c>
      <c r="X206" s="1" t="str">
        <f t="shared" si="57"/>
        <v>NON LIVRE</v>
      </c>
      <c r="Y206" s="1" t="str">
        <f t="shared" si="58"/>
        <v>NON LIVRE</v>
      </c>
      <c r="Z206" s="1" t="str">
        <f t="shared" si="62"/>
        <v>NON LIVRE</v>
      </c>
      <c r="AA206" s="1" t="str">
        <f t="shared" si="59"/>
        <v>NON LIVRE</v>
      </c>
      <c r="AB206" s="1" t="str">
        <f t="shared" si="63"/>
        <v>NON LIVRE</v>
      </c>
      <c r="AC206" s="1" t="str">
        <f t="shared" si="64"/>
        <v>NON LIVRE</v>
      </c>
      <c r="AD206" s="1" t="str">
        <f t="shared" si="60"/>
        <v>NON LIVRE</v>
      </c>
      <c r="AE206" s="1" t="str">
        <f t="shared" si="65"/>
        <v>NON LIVRE</v>
      </c>
      <c r="AF206" s="1" t="str">
        <f t="shared" si="66"/>
        <v>NON LIVRE</v>
      </c>
      <c r="AG206" s="1" t="str">
        <f t="shared" si="67"/>
        <v>NON LIVRE</v>
      </c>
      <c r="AH206" s="1" t="str">
        <f t="shared" si="68"/>
        <v>NON LIVRE</v>
      </c>
      <c r="AI206" s="1" t="str">
        <f t="shared" si="69"/>
        <v>NON LIVRE</v>
      </c>
      <c r="AJ206" s="1" t="str">
        <f t="shared" si="70"/>
        <v>NON LIVRE</v>
      </c>
      <c r="AK206" s="1" t="str">
        <f t="shared" si="55"/>
        <v>NON LIVRE</v>
      </c>
      <c r="AL206" s="1" t="str">
        <f t="shared" si="71"/>
        <v>NON LIVRE</v>
      </c>
      <c r="AM206" s="1" t="str">
        <f t="shared" si="61"/>
        <v>NON LIVRE</v>
      </c>
      <c r="AN206" s="1" t="str">
        <f t="shared" si="72"/>
        <v>NON LIVRE</v>
      </c>
    </row>
    <row r="207" spans="1:40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x14ac:dyDescent="0.3">
      <c r="A213" s="1">
        <v>26021</v>
      </c>
      <c r="W213" s="1" t="str">
        <f t="shared" si="56"/>
        <v>NON LIVRE</v>
      </c>
      <c r="X213" s="1" t="str">
        <f t="shared" si="57"/>
        <v>NON LIVRE</v>
      </c>
      <c r="Y213" s="1" t="str">
        <f t="shared" si="58"/>
        <v>NON LIVRE</v>
      </c>
      <c r="Z213" s="1" t="str">
        <f t="shared" si="62"/>
        <v>NON LIVRE</v>
      </c>
      <c r="AA213" s="1" t="str">
        <f t="shared" si="59"/>
        <v>NON LIVRE</v>
      </c>
      <c r="AB213" s="1" t="str">
        <f t="shared" si="63"/>
        <v>NON LIVRE</v>
      </c>
      <c r="AC213" s="1" t="str">
        <f t="shared" si="64"/>
        <v>NON LIVRE</v>
      </c>
      <c r="AD213" s="1" t="str">
        <f t="shared" si="60"/>
        <v>NON LIVRE</v>
      </c>
      <c r="AE213" s="1" t="str">
        <f t="shared" si="65"/>
        <v>NON LIVRE</v>
      </c>
      <c r="AF213" s="1" t="str">
        <f t="shared" si="66"/>
        <v>NON LIVRE</v>
      </c>
      <c r="AG213" s="1" t="str">
        <f t="shared" si="67"/>
        <v>NON LIVRE</v>
      </c>
      <c r="AH213" s="1" t="str">
        <f t="shared" si="68"/>
        <v>NON LIVRE</v>
      </c>
      <c r="AI213" s="1" t="str">
        <f t="shared" si="69"/>
        <v>NON LIVRE</v>
      </c>
      <c r="AJ213" s="1" t="str">
        <f t="shared" si="70"/>
        <v>NON LIVRE</v>
      </c>
      <c r="AK213" s="1" t="str">
        <f t="shared" si="55"/>
        <v>NON LIVRE</v>
      </c>
      <c r="AL213" s="1" t="str">
        <f t="shared" si="71"/>
        <v>NON LIVRE</v>
      </c>
      <c r="AM213" s="1" t="str">
        <f t="shared" si="61"/>
        <v>NON LIVRE</v>
      </c>
      <c r="AN213" s="1" t="str">
        <f t="shared" si="72"/>
        <v>NON LIVRE</v>
      </c>
    </row>
    <row r="214" spans="1:40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N214" s="2">
        <v>46080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>
        <f t="shared" si="62"/>
        <v>17</v>
      </c>
      <c r="AA214" s="1">
        <f t="shared" si="59"/>
        <v>1</v>
      </c>
      <c r="AB214" s="1">
        <f t="shared" si="63"/>
        <v>7</v>
      </c>
      <c r="AC214" s="1">
        <f t="shared" si="64"/>
        <v>9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14</v>
      </c>
      <c r="AM214" s="1">
        <f t="shared" si="61"/>
        <v>21</v>
      </c>
      <c r="AN214" s="1">
        <f t="shared" si="72"/>
        <v>0</v>
      </c>
    </row>
    <row r="215" spans="1:40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x14ac:dyDescent="0.3">
      <c r="A218" s="1">
        <v>26026</v>
      </c>
      <c r="W218" s="1" t="str">
        <f t="shared" si="56"/>
        <v>NON LIVRE</v>
      </c>
      <c r="X218" s="1" t="str">
        <f t="shared" si="57"/>
        <v>NON LIVRE</v>
      </c>
      <c r="Y218" s="1" t="str">
        <f t="shared" si="58"/>
        <v>NON LIVRE</v>
      </c>
      <c r="Z218" s="1" t="str">
        <f t="shared" si="62"/>
        <v>NON LIVRE</v>
      </c>
      <c r="AA218" s="1" t="str">
        <f t="shared" si="59"/>
        <v>NON LIVRE</v>
      </c>
      <c r="AB218" s="1" t="str">
        <f t="shared" si="63"/>
        <v>NON LIVRE</v>
      </c>
      <c r="AC218" s="1" t="str">
        <f t="shared" si="64"/>
        <v>NON LIVRE</v>
      </c>
      <c r="AD218" s="1" t="str">
        <f t="shared" si="60"/>
        <v>NON LIVRE</v>
      </c>
      <c r="AE218" s="1" t="str">
        <f t="shared" si="65"/>
        <v>NON LIVRE</v>
      </c>
      <c r="AF218" s="1" t="str">
        <f t="shared" si="66"/>
        <v>NON LIVRE</v>
      </c>
      <c r="AG218" s="1" t="str">
        <f t="shared" si="67"/>
        <v>NON LIVRE</v>
      </c>
      <c r="AH218" s="1" t="str">
        <f t="shared" si="68"/>
        <v>NON LIVRE</v>
      </c>
      <c r="AI218" s="1" t="str">
        <f t="shared" si="69"/>
        <v>NON LIVRE</v>
      </c>
      <c r="AJ218" s="1" t="str">
        <f t="shared" si="70"/>
        <v>NON LIVRE</v>
      </c>
      <c r="AK218" s="1" t="str">
        <f t="shared" si="55"/>
        <v>NON LIVRE</v>
      </c>
      <c r="AL218" s="1" t="str">
        <f t="shared" si="71"/>
        <v>NON LIVRE</v>
      </c>
      <c r="AM218" s="1" t="str">
        <f t="shared" si="61"/>
        <v>NON LIVRE</v>
      </c>
      <c r="AN218" s="1" t="str">
        <f t="shared" si="72"/>
        <v>NON LIVRE</v>
      </c>
    </row>
    <row r="219" spans="1:40" x14ac:dyDescent="0.3">
      <c r="A219" s="1">
        <v>26027</v>
      </c>
      <c r="W219" s="1" t="str">
        <f t="shared" si="56"/>
        <v>NON LIVRE</v>
      </c>
      <c r="X219" s="1" t="str">
        <f t="shared" si="57"/>
        <v>NON LIVRE</v>
      </c>
      <c r="Y219" s="1" t="str">
        <f t="shared" si="58"/>
        <v>NON LIVRE</v>
      </c>
      <c r="Z219" s="1" t="str">
        <f t="shared" si="62"/>
        <v>NON LIVRE</v>
      </c>
      <c r="AA219" s="1" t="str">
        <f t="shared" si="59"/>
        <v>NON LIVRE</v>
      </c>
      <c r="AB219" s="1" t="str">
        <f t="shared" si="63"/>
        <v>NON LIVRE</v>
      </c>
      <c r="AC219" s="1" t="str">
        <f t="shared" si="64"/>
        <v>NON LIVRE</v>
      </c>
      <c r="AD219" s="1" t="str">
        <f t="shared" si="60"/>
        <v>NON LIVRE</v>
      </c>
      <c r="AE219" s="1" t="str">
        <f t="shared" si="65"/>
        <v>NON LIVRE</v>
      </c>
      <c r="AF219" s="1" t="str">
        <f t="shared" si="66"/>
        <v>NON LIVRE</v>
      </c>
      <c r="AG219" s="1" t="str">
        <f t="shared" si="67"/>
        <v>NON LIVRE</v>
      </c>
      <c r="AH219" s="1" t="str">
        <f t="shared" si="68"/>
        <v>NON LIVRE</v>
      </c>
      <c r="AI219" s="1" t="str">
        <f t="shared" si="69"/>
        <v>NON LIVRE</v>
      </c>
      <c r="AJ219" s="1" t="str">
        <f t="shared" si="70"/>
        <v>NON LIVRE</v>
      </c>
      <c r="AK219" s="1" t="str">
        <f t="shared" si="55"/>
        <v>NON LIVRE</v>
      </c>
      <c r="AL219" s="1" t="str">
        <f t="shared" si="71"/>
        <v>NON LIVRE</v>
      </c>
      <c r="AM219" s="1" t="str">
        <f t="shared" si="61"/>
        <v>NON LIVRE</v>
      </c>
      <c r="AN219" s="1" t="str">
        <f t="shared" si="72"/>
        <v>NON LIVRE</v>
      </c>
    </row>
    <row r="220" spans="1:40" x14ac:dyDescent="0.3">
      <c r="A220" s="1">
        <v>26028</v>
      </c>
      <c r="W220" s="1" t="str">
        <f t="shared" si="56"/>
        <v>NON LIVRE</v>
      </c>
      <c r="X220" s="1" t="str">
        <f t="shared" si="57"/>
        <v>NON LIVRE</v>
      </c>
      <c r="Y220" s="1" t="str">
        <f t="shared" si="58"/>
        <v>NON LIVRE</v>
      </c>
      <c r="Z220" s="1" t="str">
        <f t="shared" si="62"/>
        <v>NON LIVRE</v>
      </c>
      <c r="AA220" s="1" t="str">
        <f t="shared" si="59"/>
        <v>NON LIVRE</v>
      </c>
      <c r="AB220" s="1" t="str">
        <f t="shared" si="63"/>
        <v>NON LIVRE</v>
      </c>
      <c r="AC220" s="1" t="str">
        <f t="shared" si="64"/>
        <v>NON LIVRE</v>
      </c>
      <c r="AD220" s="1" t="str">
        <f t="shared" si="60"/>
        <v>NON LIVRE</v>
      </c>
      <c r="AE220" s="1" t="str">
        <f t="shared" si="65"/>
        <v>NON LIVRE</v>
      </c>
      <c r="AF220" s="1" t="str">
        <f t="shared" si="66"/>
        <v>NON LIVRE</v>
      </c>
      <c r="AG220" s="1" t="str">
        <f t="shared" si="67"/>
        <v>NON LIVRE</v>
      </c>
      <c r="AH220" s="1" t="str">
        <f t="shared" si="68"/>
        <v>NON LIVRE</v>
      </c>
      <c r="AI220" s="1" t="str">
        <f t="shared" si="69"/>
        <v>NON LIVRE</v>
      </c>
      <c r="AJ220" s="1" t="str">
        <f t="shared" si="70"/>
        <v>NON LIVRE</v>
      </c>
      <c r="AK220" s="1" t="str">
        <f t="shared" si="55"/>
        <v>NON LIVRE</v>
      </c>
      <c r="AL220" s="1" t="str">
        <f t="shared" si="71"/>
        <v>NON LIVRE</v>
      </c>
      <c r="AM220" s="1" t="str">
        <f t="shared" si="61"/>
        <v>NON LIVRE</v>
      </c>
      <c r="AN220" s="1" t="str">
        <f t="shared" si="72"/>
        <v>NON LIVRE</v>
      </c>
    </row>
    <row r="221" spans="1:40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x14ac:dyDescent="0.3">
      <c r="A224" s="1">
        <v>26032</v>
      </c>
      <c r="W224" s="1" t="str">
        <f t="shared" si="56"/>
        <v>NON LIVRE</v>
      </c>
      <c r="X224" s="1" t="str">
        <f t="shared" si="57"/>
        <v>NON LIVRE</v>
      </c>
      <c r="Y224" s="1" t="str">
        <f t="shared" si="58"/>
        <v>NON LIVRE</v>
      </c>
      <c r="Z224" s="1" t="str">
        <f t="shared" si="62"/>
        <v>NON LIVRE</v>
      </c>
      <c r="AA224" s="1" t="str">
        <f t="shared" si="59"/>
        <v>NON LIVRE</v>
      </c>
      <c r="AB224" s="1" t="str">
        <f t="shared" si="63"/>
        <v>NON LIVRE</v>
      </c>
      <c r="AC224" s="1" t="str">
        <f t="shared" si="64"/>
        <v>NON LIVRE</v>
      </c>
      <c r="AD224" s="1" t="str">
        <f t="shared" si="60"/>
        <v>NON LIVRE</v>
      </c>
      <c r="AE224" s="1" t="str">
        <f t="shared" si="65"/>
        <v>NON LIVRE</v>
      </c>
      <c r="AF224" s="1" t="str">
        <f t="shared" si="66"/>
        <v>NON LIVRE</v>
      </c>
      <c r="AG224" s="1" t="str">
        <f t="shared" si="67"/>
        <v>NON LIVRE</v>
      </c>
      <c r="AH224" s="1" t="str">
        <f t="shared" si="68"/>
        <v>NON LIVRE</v>
      </c>
      <c r="AI224" s="1" t="str">
        <f t="shared" si="69"/>
        <v>NON LIVRE</v>
      </c>
      <c r="AJ224" s="1" t="str">
        <f t="shared" si="70"/>
        <v>NON LIVRE</v>
      </c>
      <c r="AK224" s="1" t="str">
        <f t="shared" si="55"/>
        <v>NON LIVRE</v>
      </c>
      <c r="AL224" s="1" t="str">
        <f t="shared" si="71"/>
        <v>NON LIVRE</v>
      </c>
      <c r="AM224" s="1" t="str">
        <f t="shared" si="61"/>
        <v>NON LIVRE</v>
      </c>
      <c r="AN224" s="1" t="str">
        <f t="shared" si="72"/>
        <v>NON LIVRE</v>
      </c>
    </row>
    <row r="225" spans="1:40" x14ac:dyDescent="0.3">
      <c r="A225" s="1">
        <v>26033</v>
      </c>
      <c r="W225" s="1" t="str">
        <f t="shared" si="56"/>
        <v>NON LIVRE</v>
      </c>
      <c r="X225" s="1" t="str">
        <f t="shared" si="57"/>
        <v>NON LIVRE</v>
      </c>
      <c r="Y225" s="1" t="str">
        <f t="shared" si="58"/>
        <v>NON LIVRE</v>
      </c>
      <c r="Z225" s="1" t="str">
        <f t="shared" si="62"/>
        <v>NON LIVRE</v>
      </c>
      <c r="AA225" s="1" t="str">
        <f t="shared" si="59"/>
        <v>NON LIVRE</v>
      </c>
      <c r="AB225" s="1" t="str">
        <f t="shared" si="63"/>
        <v>NON LIVRE</v>
      </c>
      <c r="AC225" s="1" t="str">
        <f t="shared" si="64"/>
        <v>NON LIVRE</v>
      </c>
      <c r="AD225" s="1" t="str">
        <f t="shared" si="60"/>
        <v>NON LIVRE</v>
      </c>
      <c r="AE225" s="1" t="str">
        <f t="shared" si="65"/>
        <v>NON LIVRE</v>
      </c>
      <c r="AF225" s="1" t="str">
        <f t="shared" si="66"/>
        <v>NON LIVRE</v>
      </c>
      <c r="AG225" s="1" t="str">
        <f t="shared" si="67"/>
        <v>NON LIVRE</v>
      </c>
      <c r="AH225" s="1" t="str">
        <f t="shared" si="68"/>
        <v>NON LIVRE</v>
      </c>
      <c r="AI225" s="1" t="str">
        <f t="shared" si="69"/>
        <v>NON LIVRE</v>
      </c>
      <c r="AJ225" s="1" t="str">
        <f t="shared" si="70"/>
        <v>NON LIVRE</v>
      </c>
      <c r="AK225" s="1" t="str">
        <f t="shared" si="55"/>
        <v>NON LIVRE</v>
      </c>
      <c r="AL225" s="1" t="str">
        <f t="shared" si="71"/>
        <v>NON LIVRE</v>
      </c>
      <c r="AM225" s="1" t="str">
        <f t="shared" si="61"/>
        <v>NON LIVRE</v>
      </c>
      <c r="AN225" s="1" t="str">
        <f t="shared" si="72"/>
        <v>NON LIVRE</v>
      </c>
    </row>
    <row r="226" spans="1:40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x14ac:dyDescent="0.3">
      <c r="A231" s="1">
        <v>26039</v>
      </c>
      <c r="W231" s="1" t="str">
        <f t="shared" si="56"/>
        <v>NON LIVRE</v>
      </c>
      <c r="X231" s="1" t="str">
        <f t="shared" si="57"/>
        <v>NON LIVRE</v>
      </c>
      <c r="Y231" s="1" t="str">
        <f t="shared" si="58"/>
        <v>NON LIVRE</v>
      </c>
      <c r="Z231" s="1" t="str">
        <f t="shared" si="62"/>
        <v>NON LIVRE</v>
      </c>
      <c r="AA231" s="1" t="str">
        <f t="shared" si="59"/>
        <v>NON LIVRE</v>
      </c>
      <c r="AB231" s="1" t="str">
        <f t="shared" si="63"/>
        <v>NON LIVRE</v>
      </c>
      <c r="AC231" s="1" t="str">
        <f t="shared" si="64"/>
        <v>NON LIVRE</v>
      </c>
      <c r="AD231" s="1" t="str">
        <f t="shared" si="60"/>
        <v>NON LIVRE</v>
      </c>
      <c r="AE231" s="1" t="str">
        <f t="shared" si="65"/>
        <v>NON LIVRE</v>
      </c>
      <c r="AF231" s="1" t="str">
        <f t="shared" si="66"/>
        <v>NON LIVRE</v>
      </c>
      <c r="AG231" s="1" t="str">
        <f t="shared" si="67"/>
        <v>NON LIVRE</v>
      </c>
      <c r="AH231" s="1" t="str">
        <f t="shared" si="68"/>
        <v>NON LIVRE</v>
      </c>
      <c r="AI231" s="1" t="str">
        <f t="shared" si="69"/>
        <v>NON LIVRE</v>
      </c>
      <c r="AJ231" s="1" t="str">
        <f t="shared" si="70"/>
        <v>NON LIVRE</v>
      </c>
      <c r="AK231" s="1" t="str">
        <f t="shared" ref="AK231:AK254" si="73">IFERROR(IF($R231="","NON LIVRE",IF($L231="","PAS D'IMPRESSION",IF($O231="","PAS DE DATE DEPART EN PROD TIRAGES ET ACHATS",NETWORKDAYS($L231,$O231)-1))),$O231)</f>
        <v>NON LIVRE</v>
      </c>
      <c r="AL231" s="1" t="str">
        <f t="shared" si="71"/>
        <v>NON LIVRE</v>
      </c>
      <c r="AM231" s="1" t="str">
        <f t="shared" si="61"/>
        <v>NON LIVRE</v>
      </c>
      <c r="AN231" s="1" t="str">
        <f t="shared" si="72"/>
        <v>NON LIVRE</v>
      </c>
    </row>
    <row r="232" spans="1:40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x14ac:dyDescent="0.3">
      <c r="A239" s="1">
        <v>26047</v>
      </c>
      <c r="B239" s="1" t="s">
        <v>354</v>
      </c>
      <c r="C239" s="3" t="s">
        <v>355</v>
      </c>
      <c r="D239" s="4">
        <v>1050</v>
      </c>
      <c r="F239" s="2">
        <v>46076</v>
      </c>
      <c r="G239" s="2">
        <v>46087</v>
      </c>
      <c r="H239" s="2">
        <v>46087</v>
      </c>
      <c r="I239" s="2">
        <v>46080</v>
      </c>
      <c r="J239" s="2" t="s">
        <v>334</v>
      </c>
      <c r="L239" s="2">
        <v>46099</v>
      </c>
      <c r="N239" s="2">
        <v>46101</v>
      </c>
      <c r="O239" s="2">
        <v>46108</v>
      </c>
      <c r="P239" s="2">
        <v>46129</v>
      </c>
      <c r="Q239" s="2">
        <v>46129</v>
      </c>
      <c r="R239" s="2">
        <v>46129</v>
      </c>
      <c r="S239" s="1">
        <v>1</v>
      </c>
      <c r="W239" s="1">
        <f t="shared" si="56"/>
        <v>39</v>
      </c>
      <c r="X239" s="1">
        <f t="shared" si="57"/>
        <v>39</v>
      </c>
      <c r="Y239" s="1">
        <f t="shared" si="58"/>
        <v>0</v>
      </c>
      <c r="Z239" s="1">
        <f t="shared" si="62"/>
        <v>19</v>
      </c>
      <c r="AA239" s="1">
        <f t="shared" si="59"/>
        <v>9</v>
      </c>
      <c r="AB239" s="1">
        <f t="shared" si="63"/>
        <v>0</v>
      </c>
      <c r="AC239" s="1">
        <f t="shared" si="64"/>
        <v>10</v>
      </c>
      <c r="AD239" s="1">
        <f t="shared" si="60"/>
        <v>24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</v>
      </c>
      <c r="AI239" s="1" t="str">
        <f t="shared" si="69"/>
        <v>X</v>
      </c>
      <c r="AJ239" s="1">
        <f t="shared" si="70"/>
        <v>13</v>
      </c>
      <c r="AK239" s="1">
        <f t="shared" si="73"/>
        <v>7</v>
      </c>
      <c r="AL239" s="1">
        <f t="shared" si="71"/>
        <v>5</v>
      </c>
      <c r="AM239" s="1">
        <f t="shared" si="61"/>
        <v>15</v>
      </c>
      <c r="AN239" s="1">
        <f t="shared" si="72"/>
        <v>0</v>
      </c>
    </row>
    <row r="240" spans="1:40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x14ac:dyDescent="0.3">
      <c r="A241" s="1">
        <v>26049</v>
      </c>
      <c r="W241" s="1" t="str">
        <f t="shared" si="56"/>
        <v>NON LIVRE</v>
      </c>
      <c r="X241" s="1" t="str">
        <f t="shared" si="57"/>
        <v>NON LIVRE</v>
      </c>
      <c r="Y241" s="1" t="str">
        <f t="shared" si="58"/>
        <v>NON LIVRE</v>
      </c>
      <c r="Z241" s="1" t="str">
        <f t="shared" si="62"/>
        <v>NON LIVRE</v>
      </c>
      <c r="AA241" s="1" t="str">
        <f t="shared" si="59"/>
        <v>NON LIVRE</v>
      </c>
      <c r="AB241" s="1" t="str">
        <f t="shared" si="63"/>
        <v>NON LIVRE</v>
      </c>
      <c r="AC241" s="1" t="str">
        <f t="shared" si="64"/>
        <v>NON LIVRE</v>
      </c>
      <c r="AD241" s="1" t="str">
        <f t="shared" si="60"/>
        <v>NON LIVRE</v>
      </c>
      <c r="AE241" s="1" t="str">
        <f t="shared" si="65"/>
        <v>NON LIVRE</v>
      </c>
      <c r="AF241" s="1" t="str">
        <f t="shared" si="66"/>
        <v>NON LIVRE</v>
      </c>
      <c r="AG241" s="1" t="str">
        <f t="shared" si="67"/>
        <v>NON LIVRE</v>
      </c>
      <c r="AH241" s="1" t="str">
        <f t="shared" si="68"/>
        <v>NON LIVRE</v>
      </c>
      <c r="AI241" s="1" t="str">
        <f t="shared" si="69"/>
        <v>NON LIVRE</v>
      </c>
      <c r="AJ241" s="1" t="str">
        <f t="shared" si="70"/>
        <v>NON LIVRE</v>
      </c>
      <c r="AK241" s="1" t="str">
        <f t="shared" si="73"/>
        <v>NON LIVRE</v>
      </c>
      <c r="AL241" s="1" t="str">
        <f t="shared" si="71"/>
        <v>NON LIVRE</v>
      </c>
      <c r="AM241" s="1" t="str">
        <f t="shared" si="61"/>
        <v>NON LIVRE</v>
      </c>
      <c r="AN241" s="1" t="str">
        <f t="shared" si="72"/>
        <v>NON LIVRE</v>
      </c>
    </row>
    <row r="242" spans="1:40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x14ac:dyDescent="0.3">
      <c r="A244" s="1">
        <v>26052</v>
      </c>
      <c r="W244" s="1" t="str">
        <f t="shared" si="56"/>
        <v>NON LIVRE</v>
      </c>
      <c r="X244" s="1" t="str">
        <f t="shared" si="57"/>
        <v>NON LIVRE</v>
      </c>
      <c r="Y244" s="1" t="str">
        <f t="shared" si="58"/>
        <v>NON LIVRE</v>
      </c>
      <c r="Z244" s="1" t="str">
        <f t="shared" si="62"/>
        <v>NON LIVRE</v>
      </c>
      <c r="AA244" s="1" t="str">
        <f t="shared" si="59"/>
        <v>NON LIVRE</v>
      </c>
      <c r="AB244" s="1" t="str">
        <f t="shared" si="63"/>
        <v>NON LIVRE</v>
      </c>
      <c r="AC244" s="1" t="str">
        <f t="shared" si="64"/>
        <v>NON LIVRE</v>
      </c>
      <c r="AD244" s="1" t="str">
        <f t="shared" si="60"/>
        <v>NON LIVRE</v>
      </c>
      <c r="AE244" s="1" t="str">
        <f t="shared" si="65"/>
        <v>NON LIVRE</v>
      </c>
      <c r="AF244" s="1" t="str">
        <f t="shared" si="66"/>
        <v>NON LIVRE</v>
      </c>
      <c r="AG244" s="1" t="str">
        <f t="shared" si="67"/>
        <v>NON LIVRE</v>
      </c>
      <c r="AH244" s="1" t="str">
        <f t="shared" si="68"/>
        <v>NON LIVRE</v>
      </c>
      <c r="AI244" s="1" t="str">
        <f t="shared" si="69"/>
        <v>NON LIVRE</v>
      </c>
      <c r="AJ244" s="1" t="str">
        <f t="shared" si="70"/>
        <v>NON LIVRE</v>
      </c>
      <c r="AK244" s="1" t="str">
        <f t="shared" si="73"/>
        <v>NON LIVRE</v>
      </c>
      <c r="AL244" s="1" t="str">
        <f t="shared" si="71"/>
        <v>NON LIVRE</v>
      </c>
      <c r="AM244" s="1" t="str">
        <f t="shared" si="61"/>
        <v>NON LIVRE</v>
      </c>
      <c r="AN244" s="1" t="str">
        <f t="shared" si="72"/>
        <v>NON LIVRE</v>
      </c>
    </row>
    <row r="245" spans="1:40" x14ac:dyDescent="0.3">
      <c r="A245" s="1">
        <v>26053</v>
      </c>
      <c r="W245" s="1" t="str">
        <f t="shared" si="56"/>
        <v>NON LIVRE</v>
      </c>
      <c r="X245" s="1" t="str">
        <f t="shared" si="57"/>
        <v>NON LIVRE</v>
      </c>
      <c r="Y245" s="1" t="str">
        <f t="shared" si="58"/>
        <v>NON LIVRE</v>
      </c>
      <c r="Z245" s="1" t="str">
        <f t="shared" si="62"/>
        <v>NON LIVRE</v>
      </c>
      <c r="AA245" s="1" t="str">
        <f t="shared" si="59"/>
        <v>NON LIVRE</v>
      </c>
      <c r="AB245" s="1" t="str">
        <f t="shared" si="63"/>
        <v>NON LIVRE</v>
      </c>
      <c r="AC245" s="1" t="str">
        <f t="shared" si="64"/>
        <v>NON LIVRE</v>
      </c>
      <c r="AD245" s="1" t="str">
        <f t="shared" si="60"/>
        <v>NON LIVRE</v>
      </c>
      <c r="AE245" s="1" t="str">
        <f t="shared" si="65"/>
        <v>NON LIVRE</v>
      </c>
      <c r="AF245" s="1" t="str">
        <f t="shared" si="66"/>
        <v>NON LIVRE</v>
      </c>
      <c r="AG245" s="1" t="str">
        <f t="shared" si="67"/>
        <v>NON LIVRE</v>
      </c>
      <c r="AH245" s="1" t="str">
        <f t="shared" si="68"/>
        <v>NON LIVRE</v>
      </c>
      <c r="AI245" s="1" t="str">
        <f t="shared" si="69"/>
        <v>NON LIVRE</v>
      </c>
      <c r="AJ245" s="1" t="str">
        <f t="shared" si="70"/>
        <v>NON LIVRE</v>
      </c>
      <c r="AK245" s="1" t="str">
        <f t="shared" si="73"/>
        <v>NON LIVRE</v>
      </c>
      <c r="AL245" s="1" t="str">
        <f t="shared" si="71"/>
        <v>NON LIVRE</v>
      </c>
      <c r="AM245" s="1" t="str">
        <f t="shared" si="61"/>
        <v>NON LIVRE</v>
      </c>
      <c r="AN245" s="1" t="str">
        <f t="shared" si="72"/>
        <v>NON LIVRE</v>
      </c>
    </row>
    <row r="246" spans="1:40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x14ac:dyDescent="0.3"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</sheetData>
  <autoFilter ref="A1:AN254" xr:uid="{190F9780-89AB-46EF-A444-DE15B57A012F}"/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EF12-49B5-4966-8B56-D2FBA1216C7F}">
  <dimension ref="A1:D162"/>
  <sheetViews>
    <sheetView workbookViewId="0">
      <selection activeCell="E8" sqref="E8"/>
    </sheetView>
  </sheetViews>
  <sheetFormatPr baseColWidth="10" defaultRowHeight="14.4" x14ac:dyDescent="0.3"/>
  <sheetData>
    <row r="1" spans="1:4" x14ac:dyDescent="0.3">
      <c r="A1" s="11" t="s">
        <v>0</v>
      </c>
      <c r="B1" s="14" t="s">
        <v>375</v>
      </c>
      <c r="C1" s="14" t="s">
        <v>382</v>
      </c>
      <c r="D1" t="s">
        <v>396</v>
      </c>
    </row>
    <row r="2" spans="1:4" x14ac:dyDescent="0.3">
      <c r="A2" s="1">
        <v>25186</v>
      </c>
      <c r="B2" s="2">
        <v>45680</v>
      </c>
      <c r="C2" s="2">
        <v>46073</v>
      </c>
      <c r="D2">
        <f t="shared" ref="D2:D33" si="0">C2-B2</f>
        <v>393</v>
      </c>
    </row>
    <row r="3" spans="1:4" x14ac:dyDescent="0.3">
      <c r="A3" s="1">
        <v>25195</v>
      </c>
      <c r="B3" s="2">
        <v>45666</v>
      </c>
      <c r="C3" s="2">
        <v>46052</v>
      </c>
      <c r="D3">
        <f t="shared" si="0"/>
        <v>386</v>
      </c>
    </row>
    <row r="4" spans="1:4" x14ac:dyDescent="0.3">
      <c r="A4" s="1">
        <v>25192</v>
      </c>
      <c r="B4" s="2">
        <v>45673</v>
      </c>
      <c r="C4" s="2">
        <v>46045</v>
      </c>
      <c r="D4">
        <f t="shared" si="0"/>
        <v>372</v>
      </c>
    </row>
    <row r="5" spans="1:4" x14ac:dyDescent="0.3">
      <c r="A5" s="1">
        <v>25193</v>
      </c>
      <c r="B5" s="2">
        <v>45672</v>
      </c>
      <c r="C5" s="2">
        <v>46038</v>
      </c>
      <c r="D5">
        <f t="shared" si="0"/>
        <v>366</v>
      </c>
    </row>
    <row r="6" spans="1:4" x14ac:dyDescent="0.3">
      <c r="A6" s="1">
        <v>26006</v>
      </c>
      <c r="B6" s="2">
        <v>46087</v>
      </c>
      <c r="C6" s="2">
        <v>46154</v>
      </c>
      <c r="D6">
        <f t="shared" si="0"/>
        <v>67</v>
      </c>
    </row>
    <row r="7" spans="1:4" x14ac:dyDescent="0.3">
      <c r="A7" s="1">
        <v>25162</v>
      </c>
      <c r="B7" s="2">
        <v>45933</v>
      </c>
      <c r="C7" s="2">
        <v>45982</v>
      </c>
      <c r="D7">
        <f t="shared" si="0"/>
        <v>49</v>
      </c>
    </row>
    <row r="8" spans="1:4" x14ac:dyDescent="0.3">
      <c r="A8" s="1">
        <v>25201</v>
      </c>
      <c r="B8" s="2">
        <v>46022</v>
      </c>
      <c r="C8" s="2">
        <v>46045</v>
      </c>
      <c r="D8">
        <f t="shared" si="0"/>
        <v>23</v>
      </c>
    </row>
    <row r="9" spans="1:4" x14ac:dyDescent="0.3">
      <c r="A9" s="1">
        <v>25167</v>
      </c>
      <c r="B9" s="2">
        <v>45968</v>
      </c>
      <c r="C9" s="2">
        <v>45982</v>
      </c>
      <c r="D9">
        <f t="shared" si="0"/>
        <v>14</v>
      </c>
    </row>
    <row r="10" spans="1:4" x14ac:dyDescent="0.3">
      <c r="A10" s="1">
        <v>25184</v>
      </c>
      <c r="B10" s="2">
        <v>46024</v>
      </c>
      <c r="C10" s="2">
        <v>46038</v>
      </c>
      <c r="D10">
        <f t="shared" si="0"/>
        <v>14</v>
      </c>
    </row>
    <row r="11" spans="1:4" x14ac:dyDescent="0.3">
      <c r="A11" s="1">
        <v>26030</v>
      </c>
      <c r="B11" s="2">
        <v>46136</v>
      </c>
      <c r="C11" s="2">
        <v>46150</v>
      </c>
      <c r="D11">
        <f t="shared" si="0"/>
        <v>14</v>
      </c>
    </row>
    <row r="12" spans="1:4" x14ac:dyDescent="0.3">
      <c r="A12" s="1">
        <v>25063</v>
      </c>
      <c r="B12" s="2">
        <v>45947</v>
      </c>
      <c r="C12" s="2">
        <v>45954</v>
      </c>
      <c r="D12">
        <f t="shared" si="0"/>
        <v>7</v>
      </c>
    </row>
    <row r="13" spans="1:4" x14ac:dyDescent="0.3">
      <c r="A13" s="1">
        <v>25072</v>
      </c>
      <c r="B13" s="2">
        <v>45947</v>
      </c>
      <c r="C13" s="2">
        <v>45954</v>
      </c>
      <c r="D13">
        <f t="shared" si="0"/>
        <v>7</v>
      </c>
    </row>
    <row r="14" spans="1:4" x14ac:dyDescent="0.3">
      <c r="A14" s="1">
        <v>25073</v>
      </c>
      <c r="B14" s="2">
        <v>45968</v>
      </c>
      <c r="C14" s="2">
        <v>45975</v>
      </c>
      <c r="D14">
        <f t="shared" si="0"/>
        <v>7</v>
      </c>
    </row>
    <row r="15" spans="1:4" x14ac:dyDescent="0.3">
      <c r="A15" s="1">
        <v>25075</v>
      </c>
      <c r="B15" s="2">
        <v>45920</v>
      </c>
      <c r="C15" s="2">
        <v>45927</v>
      </c>
      <c r="D15">
        <f t="shared" si="0"/>
        <v>7</v>
      </c>
    </row>
    <row r="16" spans="1:4" x14ac:dyDescent="0.3">
      <c r="A16" s="1">
        <v>25093</v>
      </c>
      <c r="B16" s="2">
        <v>45933</v>
      </c>
      <c r="C16" s="2">
        <v>45940</v>
      </c>
      <c r="D16">
        <f t="shared" si="0"/>
        <v>7</v>
      </c>
    </row>
    <row r="17" spans="1:4" x14ac:dyDescent="0.3">
      <c r="A17" s="1">
        <v>25104</v>
      </c>
      <c r="B17" s="2">
        <v>45891</v>
      </c>
      <c r="C17" s="2">
        <v>45898</v>
      </c>
      <c r="D17">
        <f t="shared" si="0"/>
        <v>7</v>
      </c>
    </row>
    <row r="18" spans="1:4" x14ac:dyDescent="0.3">
      <c r="A18" s="1">
        <v>25142</v>
      </c>
      <c r="B18" s="2">
        <v>45961</v>
      </c>
      <c r="C18" s="2">
        <v>45968</v>
      </c>
      <c r="D18">
        <f t="shared" si="0"/>
        <v>7</v>
      </c>
    </row>
    <row r="19" spans="1:4" x14ac:dyDescent="0.3">
      <c r="A19" s="1">
        <v>25163</v>
      </c>
      <c r="B19" s="2">
        <v>45989</v>
      </c>
      <c r="C19" s="2">
        <v>45996</v>
      </c>
      <c r="D19">
        <f t="shared" si="0"/>
        <v>7</v>
      </c>
    </row>
    <row r="20" spans="1:4" x14ac:dyDescent="0.3">
      <c r="A20" s="1">
        <v>25180</v>
      </c>
      <c r="B20" s="2">
        <v>46045</v>
      </c>
      <c r="C20" s="2">
        <v>46052</v>
      </c>
      <c r="D20">
        <f t="shared" si="0"/>
        <v>7</v>
      </c>
    </row>
    <row r="21" spans="1:4" x14ac:dyDescent="0.3">
      <c r="A21" s="1">
        <v>25183</v>
      </c>
      <c r="B21" s="2">
        <v>46024</v>
      </c>
      <c r="C21" s="2">
        <v>46031</v>
      </c>
      <c r="D21">
        <f t="shared" si="0"/>
        <v>7</v>
      </c>
    </row>
    <row r="22" spans="1:4" x14ac:dyDescent="0.3">
      <c r="A22" s="1">
        <v>25197</v>
      </c>
      <c r="B22" s="2">
        <v>46108</v>
      </c>
      <c r="C22" s="2">
        <v>46115</v>
      </c>
      <c r="D22">
        <f t="shared" si="0"/>
        <v>7</v>
      </c>
    </row>
    <row r="23" spans="1:4" x14ac:dyDescent="0.3">
      <c r="A23" s="1">
        <v>25199</v>
      </c>
      <c r="B23" s="2">
        <v>46087</v>
      </c>
      <c r="C23" s="2">
        <v>46094</v>
      </c>
      <c r="D23">
        <f t="shared" si="0"/>
        <v>7</v>
      </c>
    </row>
    <row r="24" spans="1:4" x14ac:dyDescent="0.3">
      <c r="A24" s="1">
        <v>25229</v>
      </c>
      <c r="B24" s="2">
        <v>46052</v>
      </c>
      <c r="C24" s="2">
        <v>46059</v>
      </c>
      <c r="D24">
        <f t="shared" si="0"/>
        <v>7</v>
      </c>
    </row>
    <row r="25" spans="1:4" x14ac:dyDescent="0.3">
      <c r="A25" s="1">
        <v>25236</v>
      </c>
      <c r="B25" s="2">
        <v>46122</v>
      </c>
      <c r="C25" s="2">
        <v>46129</v>
      </c>
      <c r="D25">
        <f t="shared" si="0"/>
        <v>7</v>
      </c>
    </row>
    <row r="26" spans="1:4" x14ac:dyDescent="0.3">
      <c r="A26" s="1">
        <v>25253</v>
      </c>
      <c r="B26" s="2">
        <v>46094</v>
      </c>
      <c r="C26" s="2">
        <v>46101</v>
      </c>
      <c r="D26">
        <f t="shared" si="0"/>
        <v>7</v>
      </c>
    </row>
    <row r="27" spans="1:4" x14ac:dyDescent="0.3">
      <c r="A27" s="1">
        <v>26034</v>
      </c>
      <c r="B27" s="2">
        <v>46164</v>
      </c>
      <c r="C27" s="2">
        <v>46171</v>
      </c>
      <c r="D27">
        <f t="shared" si="0"/>
        <v>7</v>
      </c>
    </row>
    <row r="28" spans="1:4" x14ac:dyDescent="0.3">
      <c r="A28" s="1">
        <v>25196</v>
      </c>
      <c r="B28" s="2">
        <v>46017</v>
      </c>
      <c r="C28" s="2">
        <v>46021</v>
      </c>
      <c r="D28">
        <f t="shared" si="0"/>
        <v>4</v>
      </c>
    </row>
    <row r="29" spans="1:4" x14ac:dyDescent="0.3">
      <c r="A29" s="1">
        <v>26003</v>
      </c>
      <c r="B29" s="2">
        <v>46079</v>
      </c>
      <c r="C29" s="2">
        <v>46080</v>
      </c>
      <c r="D29">
        <f t="shared" si="0"/>
        <v>1</v>
      </c>
    </row>
    <row r="30" spans="1:4" x14ac:dyDescent="0.3">
      <c r="A30" s="1">
        <v>24168</v>
      </c>
      <c r="B30" s="2">
        <v>46003</v>
      </c>
      <c r="C30" s="2">
        <v>46003</v>
      </c>
      <c r="D30">
        <f t="shared" si="0"/>
        <v>0</v>
      </c>
    </row>
    <row r="31" spans="1:4" x14ac:dyDescent="0.3">
      <c r="A31" s="1">
        <v>25022</v>
      </c>
      <c r="B31" s="2">
        <v>45891</v>
      </c>
      <c r="C31" s="2">
        <v>45891</v>
      </c>
      <c r="D31">
        <f t="shared" si="0"/>
        <v>0</v>
      </c>
    </row>
    <row r="32" spans="1:4" x14ac:dyDescent="0.3">
      <c r="A32" s="1">
        <v>25030</v>
      </c>
      <c r="B32" s="2">
        <v>45912</v>
      </c>
      <c r="C32" s="2">
        <v>45912</v>
      </c>
      <c r="D32">
        <f t="shared" si="0"/>
        <v>0</v>
      </c>
    </row>
    <row r="33" spans="1:4" x14ac:dyDescent="0.3">
      <c r="A33" s="1">
        <v>25031</v>
      </c>
      <c r="B33" s="2">
        <v>45863</v>
      </c>
      <c r="C33" s="2">
        <v>45863</v>
      </c>
      <c r="D33">
        <f t="shared" si="0"/>
        <v>0</v>
      </c>
    </row>
    <row r="34" spans="1:4" x14ac:dyDescent="0.3">
      <c r="A34" s="1">
        <v>25032</v>
      </c>
      <c r="B34" s="2">
        <v>45926</v>
      </c>
      <c r="C34" s="2">
        <v>45926</v>
      </c>
      <c r="D34">
        <f t="shared" ref="D34:D65" si="1">C34-B34</f>
        <v>0</v>
      </c>
    </row>
    <row r="35" spans="1:4" x14ac:dyDescent="0.3">
      <c r="A35" s="1">
        <v>25034</v>
      </c>
      <c r="B35" s="2">
        <v>45926</v>
      </c>
      <c r="C35" s="2">
        <v>45926</v>
      </c>
      <c r="D35">
        <f t="shared" si="1"/>
        <v>0</v>
      </c>
    </row>
    <row r="36" spans="1:4" x14ac:dyDescent="0.3">
      <c r="A36" s="1">
        <v>25037</v>
      </c>
      <c r="B36" s="2">
        <v>45898</v>
      </c>
      <c r="C36" s="2">
        <v>45898</v>
      </c>
      <c r="D36">
        <f t="shared" si="1"/>
        <v>0</v>
      </c>
    </row>
    <row r="37" spans="1:4" x14ac:dyDescent="0.3">
      <c r="A37" s="1">
        <v>25040</v>
      </c>
      <c r="B37" s="2">
        <v>45856</v>
      </c>
      <c r="C37" s="2">
        <v>45856</v>
      </c>
      <c r="D37">
        <f t="shared" si="1"/>
        <v>0</v>
      </c>
    </row>
    <row r="38" spans="1:4" x14ac:dyDescent="0.3">
      <c r="A38" s="1">
        <v>25056</v>
      </c>
      <c r="B38" s="2">
        <v>45821</v>
      </c>
      <c r="C38" s="2">
        <v>45821</v>
      </c>
      <c r="D38">
        <f t="shared" si="1"/>
        <v>0</v>
      </c>
    </row>
    <row r="39" spans="1:4" x14ac:dyDescent="0.3">
      <c r="A39" s="1">
        <v>25066</v>
      </c>
      <c r="B39" s="2">
        <v>45849</v>
      </c>
      <c r="C39" s="2">
        <v>45849</v>
      </c>
      <c r="D39">
        <f t="shared" si="1"/>
        <v>0</v>
      </c>
    </row>
    <row r="40" spans="1:4" x14ac:dyDescent="0.3">
      <c r="A40" s="1">
        <v>25072</v>
      </c>
      <c r="B40" s="2">
        <v>45947</v>
      </c>
      <c r="C40" s="2">
        <v>45947</v>
      </c>
      <c r="D40">
        <f t="shared" si="1"/>
        <v>0</v>
      </c>
    </row>
    <row r="41" spans="1:4" x14ac:dyDescent="0.3">
      <c r="A41" s="1">
        <v>25072</v>
      </c>
      <c r="B41" s="2">
        <v>45947</v>
      </c>
      <c r="C41" s="2">
        <v>45947</v>
      </c>
      <c r="D41">
        <f t="shared" si="1"/>
        <v>0</v>
      </c>
    </row>
    <row r="42" spans="1:4" x14ac:dyDescent="0.3">
      <c r="A42" s="1">
        <v>25073</v>
      </c>
      <c r="B42" s="2">
        <v>45975</v>
      </c>
      <c r="C42" s="2">
        <v>45975</v>
      </c>
      <c r="D42">
        <f t="shared" si="1"/>
        <v>0</v>
      </c>
    </row>
    <row r="43" spans="1:4" x14ac:dyDescent="0.3">
      <c r="A43" s="1">
        <v>25086</v>
      </c>
      <c r="B43" s="2">
        <v>45919</v>
      </c>
      <c r="C43" s="2">
        <v>45919</v>
      </c>
      <c r="D43">
        <f t="shared" si="1"/>
        <v>0</v>
      </c>
    </row>
    <row r="44" spans="1:4" x14ac:dyDescent="0.3">
      <c r="A44" s="1">
        <v>25089</v>
      </c>
      <c r="B44" s="2">
        <v>45919</v>
      </c>
      <c r="C44" s="2">
        <v>45919</v>
      </c>
      <c r="D44">
        <f t="shared" si="1"/>
        <v>0</v>
      </c>
    </row>
    <row r="45" spans="1:4" x14ac:dyDescent="0.3">
      <c r="A45" s="1">
        <v>25091</v>
      </c>
      <c r="B45" s="2">
        <v>46010</v>
      </c>
      <c r="C45" s="2">
        <v>46010</v>
      </c>
      <c r="D45">
        <f t="shared" si="1"/>
        <v>0</v>
      </c>
    </row>
    <row r="46" spans="1:4" x14ac:dyDescent="0.3">
      <c r="A46" s="1">
        <v>25091</v>
      </c>
      <c r="B46" s="2">
        <v>46003</v>
      </c>
      <c r="C46" s="2">
        <v>46003</v>
      </c>
      <c r="D46">
        <f t="shared" si="1"/>
        <v>0</v>
      </c>
    </row>
    <row r="47" spans="1:4" x14ac:dyDescent="0.3">
      <c r="A47" s="1">
        <v>25092</v>
      </c>
      <c r="B47" s="2">
        <v>46045</v>
      </c>
      <c r="C47" s="2">
        <v>46045</v>
      </c>
      <c r="D47">
        <f t="shared" si="1"/>
        <v>0</v>
      </c>
    </row>
    <row r="48" spans="1:4" x14ac:dyDescent="0.3">
      <c r="A48" s="1">
        <v>25100</v>
      </c>
      <c r="B48" s="2">
        <v>45905</v>
      </c>
      <c r="C48" s="2">
        <v>45905</v>
      </c>
      <c r="D48">
        <f t="shared" si="1"/>
        <v>0</v>
      </c>
    </row>
    <row r="49" spans="1:4" x14ac:dyDescent="0.3">
      <c r="A49" s="1">
        <v>25103</v>
      </c>
      <c r="B49" s="2">
        <v>45898</v>
      </c>
      <c r="C49" s="2">
        <v>45898</v>
      </c>
      <c r="D49">
        <f t="shared" si="1"/>
        <v>0</v>
      </c>
    </row>
    <row r="50" spans="1:4" x14ac:dyDescent="0.3">
      <c r="A50" s="1">
        <v>25109</v>
      </c>
      <c r="B50" s="2">
        <v>45926</v>
      </c>
      <c r="C50" s="2">
        <v>45926</v>
      </c>
      <c r="D50">
        <f t="shared" si="1"/>
        <v>0</v>
      </c>
    </row>
    <row r="51" spans="1:4" x14ac:dyDescent="0.3">
      <c r="A51" s="1">
        <v>25110</v>
      </c>
      <c r="B51" s="2">
        <v>45933</v>
      </c>
      <c r="C51" s="2">
        <v>45933</v>
      </c>
      <c r="D51">
        <f t="shared" si="1"/>
        <v>0</v>
      </c>
    </row>
    <row r="52" spans="1:4" x14ac:dyDescent="0.3">
      <c r="A52" s="1">
        <v>25114</v>
      </c>
      <c r="B52" s="2">
        <v>45919</v>
      </c>
      <c r="C52" s="2">
        <v>45919</v>
      </c>
      <c r="D52">
        <f t="shared" si="1"/>
        <v>0</v>
      </c>
    </row>
    <row r="53" spans="1:4" x14ac:dyDescent="0.3">
      <c r="A53" s="1">
        <v>25115</v>
      </c>
      <c r="B53" s="2">
        <v>46080</v>
      </c>
      <c r="C53" s="2">
        <v>46080</v>
      </c>
      <c r="D53">
        <f t="shared" si="1"/>
        <v>0</v>
      </c>
    </row>
    <row r="54" spans="1:4" x14ac:dyDescent="0.3">
      <c r="A54" s="1">
        <v>25117</v>
      </c>
      <c r="B54" s="2">
        <v>45919</v>
      </c>
      <c r="C54" s="2">
        <v>45919</v>
      </c>
      <c r="D54">
        <f t="shared" si="1"/>
        <v>0</v>
      </c>
    </row>
    <row r="55" spans="1:4" x14ac:dyDescent="0.3">
      <c r="A55" s="1">
        <v>25121</v>
      </c>
      <c r="B55" s="2">
        <v>45954</v>
      </c>
      <c r="C55" s="2">
        <v>45954</v>
      </c>
      <c r="D55">
        <f t="shared" si="1"/>
        <v>0</v>
      </c>
    </row>
    <row r="56" spans="1:4" x14ac:dyDescent="0.3">
      <c r="A56" s="1">
        <v>25122</v>
      </c>
      <c r="B56" s="2">
        <v>45898</v>
      </c>
      <c r="C56" s="2">
        <v>45898</v>
      </c>
      <c r="D56">
        <f t="shared" si="1"/>
        <v>0</v>
      </c>
    </row>
    <row r="57" spans="1:4" x14ac:dyDescent="0.3">
      <c r="A57" s="1">
        <v>25123</v>
      </c>
      <c r="B57" s="2">
        <v>45919</v>
      </c>
      <c r="C57" s="2">
        <v>45919</v>
      </c>
      <c r="D57">
        <f t="shared" si="1"/>
        <v>0</v>
      </c>
    </row>
    <row r="58" spans="1:4" x14ac:dyDescent="0.3">
      <c r="A58" s="1">
        <v>25124</v>
      </c>
      <c r="B58" s="2">
        <v>45933</v>
      </c>
      <c r="C58" s="2">
        <v>45933</v>
      </c>
      <c r="D58">
        <f t="shared" si="1"/>
        <v>0</v>
      </c>
    </row>
    <row r="59" spans="1:4" x14ac:dyDescent="0.3">
      <c r="A59" s="1">
        <v>25124</v>
      </c>
      <c r="B59" s="2">
        <v>45926</v>
      </c>
      <c r="C59" s="2">
        <v>45926</v>
      </c>
      <c r="D59">
        <f t="shared" si="1"/>
        <v>0</v>
      </c>
    </row>
    <row r="60" spans="1:4" x14ac:dyDescent="0.3">
      <c r="A60" s="1">
        <v>25125</v>
      </c>
      <c r="B60" s="2">
        <v>45954</v>
      </c>
      <c r="C60" s="2">
        <v>45954</v>
      </c>
      <c r="D60">
        <f t="shared" si="1"/>
        <v>0</v>
      </c>
    </row>
    <row r="61" spans="1:4" x14ac:dyDescent="0.3">
      <c r="A61" s="1">
        <v>25128</v>
      </c>
      <c r="B61" s="2">
        <v>45919</v>
      </c>
      <c r="C61" s="2">
        <v>45919</v>
      </c>
      <c r="D61">
        <f t="shared" si="1"/>
        <v>0</v>
      </c>
    </row>
    <row r="62" spans="1:4" x14ac:dyDescent="0.3">
      <c r="A62" s="1">
        <v>25128</v>
      </c>
      <c r="B62" s="2">
        <v>45919</v>
      </c>
      <c r="C62" s="2">
        <v>45919</v>
      </c>
      <c r="D62">
        <f t="shared" si="1"/>
        <v>0</v>
      </c>
    </row>
    <row r="63" spans="1:4" x14ac:dyDescent="0.3">
      <c r="A63" s="1">
        <v>25129</v>
      </c>
      <c r="B63" s="2">
        <v>45926</v>
      </c>
      <c r="C63" s="2">
        <v>45926</v>
      </c>
      <c r="D63">
        <f t="shared" si="1"/>
        <v>0</v>
      </c>
    </row>
    <row r="64" spans="1:4" x14ac:dyDescent="0.3">
      <c r="A64" s="1">
        <v>25132</v>
      </c>
      <c r="B64" s="2">
        <v>45947</v>
      </c>
      <c r="C64" s="2">
        <v>45947</v>
      </c>
      <c r="D64">
        <f t="shared" si="1"/>
        <v>0</v>
      </c>
    </row>
    <row r="65" spans="1:4" x14ac:dyDescent="0.3">
      <c r="A65" s="1">
        <v>25133</v>
      </c>
      <c r="B65" s="2">
        <v>46094</v>
      </c>
      <c r="C65" s="2">
        <v>46094</v>
      </c>
      <c r="D65">
        <f t="shared" si="1"/>
        <v>0</v>
      </c>
    </row>
    <row r="66" spans="1:4" x14ac:dyDescent="0.3">
      <c r="A66" s="1">
        <v>25135</v>
      </c>
      <c r="B66" s="2">
        <v>45954</v>
      </c>
      <c r="C66" s="2">
        <v>45954</v>
      </c>
      <c r="D66">
        <f t="shared" ref="D66:D97" si="2">C66-B66</f>
        <v>0</v>
      </c>
    </row>
    <row r="67" spans="1:4" x14ac:dyDescent="0.3">
      <c r="A67" s="1">
        <v>25135</v>
      </c>
      <c r="B67" s="2">
        <v>45954</v>
      </c>
      <c r="C67" s="2">
        <v>45954</v>
      </c>
      <c r="D67">
        <f t="shared" si="2"/>
        <v>0</v>
      </c>
    </row>
    <row r="68" spans="1:4" x14ac:dyDescent="0.3">
      <c r="A68" s="1">
        <v>25136</v>
      </c>
      <c r="B68" s="2">
        <v>45912</v>
      </c>
      <c r="C68" s="2">
        <v>45912</v>
      </c>
      <c r="D68">
        <f t="shared" si="2"/>
        <v>0</v>
      </c>
    </row>
    <row r="69" spans="1:4" x14ac:dyDescent="0.3">
      <c r="A69" s="1">
        <v>25137</v>
      </c>
      <c r="B69" s="2">
        <v>45954</v>
      </c>
      <c r="C69" s="2">
        <v>45954</v>
      </c>
      <c r="D69">
        <f t="shared" si="2"/>
        <v>0</v>
      </c>
    </row>
    <row r="70" spans="1:4" x14ac:dyDescent="0.3">
      <c r="A70" s="1">
        <v>25138</v>
      </c>
      <c r="B70" s="2">
        <v>45912</v>
      </c>
      <c r="C70" s="2">
        <v>45912</v>
      </c>
      <c r="D70">
        <f t="shared" si="2"/>
        <v>0</v>
      </c>
    </row>
    <row r="71" spans="1:4" x14ac:dyDescent="0.3">
      <c r="A71" s="1">
        <v>25138</v>
      </c>
      <c r="B71" s="2">
        <v>45912</v>
      </c>
      <c r="C71" s="2">
        <v>45912</v>
      </c>
      <c r="D71">
        <f t="shared" si="2"/>
        <v>0</v>
      </c>
    </row>
    <row r="72" spans="1:4" x14ac:dyDescent="0.3">
      <c r="A72" s="1">
        <v>25140</v>
      </c>
      <c r="B72" s="2">
        <v>45926</v>
      </c>
      <c r="C72" s="2">
        <v>45926</v>
      </c>
      <c r="D72">
        <f t="shared" si="2"/>
        <v>0</v>
      </c>
    </row>
    <row r="73" spans="1:4" x14ac:dyDescent="0.3">
      <c r="A73" s="1">
        <v>25143</v>
      </c>
      <c r="B73" s="2">
        <v>45947</v>
      </c>
      <c r="C73" s="2">
        <v>45947</v>
      </c>
      <c r="D73">
        <f t="shared" si="2"/>
        <v>0</v>
      </c>
    </row>
    <row r="74" spans="1:4" x14ac:dyDescent="0.3">
      <c r="A74" s="1">
        <v>25144</v>
      </c>
      <c r="B74" s="2">
        <v>45933</v>
      </c>
      <c r="C74" s="2">
        <v>45933</v>
      </c>
      <c r="D74">
        <f t="shared" si="2"/>
        <v>0</v>
      </c>
    </row>
    <row r="75" spans="1:4" x14ac:dyDescent="0.3">
      <c r="A75" s="1">
        <v>25145</v>
      </c>
      <c r="B75" s="2">
        <v>46101</v>
      </c>
      <c r="C75" s="2">
        <v>46101</v>
      </c>
      <c r="D75">
        <f t="shared" si="2"/>
        <v>0</v>
      </c>
    </row>
    <row r="76" spans="1:4" x14ac:dyDescent="0.3">
      <c r="A76" s="1">
        <v>25145</v>
      </c>
      <c r="B76" s="2">
        <v>46101</v>
      </c>
      <c r="C76" s="2">
        <v>46101</v>
      </c>
      <c r="D76">
        <f t="shared" si="2"/>
        <v>0</v>
      </c>
    </row>
    <row r="77" spans="1:4" x14ac:dyDescent="0.3">
      <c r="A77" s="1">
        <v>25146</v>
      </c>
      <c r="B77" s="2">
        <v>45940</v>
      </c>
      <c r="C77" s="2">
        <v>45940</v>
      </c>
      <c r="D77">
        <f t="shared" si="2"/>
        <v>0</v>
      </c>
    </row>
    <row r="78" spans="1:4" x14ac:dyDescent="0.3">
      <c r="A78" s="1">
        <v>25147</v>
      </c>
      <c r="B78" s="2">
        <v>45961</v>
      </c>
      <c r="C78" s="2">
        <v>45961</v>
      </c>
      <c r="D78">
        <f t="shared" si="2"/>
        <v>0</v>
      </c>
    </row>
    <row r="79" spans="1:4" x14ac:dyDescent="0.3">
      <c r="A79" s="1">
        <v>25147</v>
      </c>
      <c r="B79" s="2">
        <v>45961</v>
      </c>
      <c r="C79" s="2">
        <v>45961</v>
      </c>
      <c r="D79">
        <f t="shared" si="2"/>
        <v>0</v>
      </c>
    </row>
    <row r="80" spans="1:4" x14ac:dyDescent="0.3">
      <c r="A80" s="1">
        <v>25147</v>
      </c>
      <c r="B80" s="2">
        <v>45954</v>
      </c>
      <c r="C80" s="2">
        <v>45954</v>
      </c>
      <c r="D80">
        <f t="shared" si="2"/>
        <v>0</v>
      </c>
    </row>
    <row r="81" spans="1:4" x14ac:dyDescent="0.3">
      <c r="A81" s="1">
        <v>25147</v>
      </c>
      <c r="B81" s="2">
        <v>45961</v>
      </c>
      <c r="C81" s="2">
        <v>45961</v>
      </c>
      <c r="D81">
        <f t="shared" si="2"/>
        <v>0</v>
      </c>
    </row>
    <row r="82" spans="1:4" x14ac:dyDescent="0.3">
      <c r="A82" s="1">
        <v>25150</v>
      </c>
      <c r="B82" s="2">
        <v>45940</v>
      </c>
      <c r="C82" s="2">
        <v>45940</v>
      </c>
      <c r="D82">
        <f t="shared" si="2"/>
        <v>0</v>
      </c>
    </row>
    <row r="83" spans="1:4" x14ac:dyDescent="0.3">
      <c r="A83" s="1">
        <v>25151</v>
      </c>
      <c r="B83" s="2">
        <v>45996</v>
      </c>
      <c r="C83" s="2">
        <v>45996</v>
      </c>
      <c r="D83">
        <f t="shared" si="2"/>
        <v>0</v>
      </c>
    </row>
    <row r="84" spans="1:4" x14ac:dyDescent="0.3">
      <c r="A84" s="1">
        <v>25152</v>
      </c>
      <c r="B84" s="2">
        <v>45989</v>
      </c>
      <c r="C84" s="2">
        <v>45989</v>
      </c>
      <c r="D84">
        <f t="shared" si="2"/>
        <v>0</v>
      </c>
    </row>
    <row r="85" spans="1:4" x14ac:dyDescent="0.3">
      <c r="A85" s="1">
        <v>25154</v>
      </c>
      <c r="B85" s="2">
        <v>45989</v>
      </c>
      <c r="C85" s="2">
        <v>45989</v>
      </c>
      <c r="D85">
        <f t="shared" si="2"/>
        <v>0</v>
      </c>
    </row>
    <row r="86" spans="1:4" x14ac:dyDescent="0.3">
      <c r="A86" s="1">
        <v>25155</v>
      </c>
      <c r="B86" s="2">
        <v>45940</v>
      </c>
      <c r="C86" s="2">
        <v>45940</v>
      </c>
      <c r="D86">
        <f t="shared" si="2"/>
        <v>0</v>
      </c>
    </row>
    <row r="87" spans="1:4" x14ac:dyDescent="0.3">
      <c r="A87" s="1">
        <v>25156</v>
      </c>
      <c r="B87" s="2">
        <v>46038</v>
      </c>
      <c r="C87" s="2">
        <v>46038</v>
      </c>
      <c r="D87">
        <f t="shared" si="2"/>
        <v>0</v>
      </c>
    </row>
    <row r="88" spans="1:4" x14ac:dyDescent="0.3">
      <c r="A88" s="1">
        <v>25157</v>
      </c>
      <c r="B88" s="2">
        <v>45982</v>
      </c>
      <c r="C88" s="2">
        <v>45982</v>
      </c>
      <c r="D88">
        <f t="shared" si="2"/>
        <v>0</v>
      </c>
    </row>
    <row r="89" spans="1:4" x14ac:dyDescent="0.3">
      <c r="A89" s="1">
        <v>25158</v>
      </c>
      <c r="B89" s="2">
        <v>45996</v>
      </c>
      <c r="C89" s="2">
        <v>45996</v>
      </c>
      <c r="D89">
        <f t="shared" si="2"/>
        <v>0</v>
      </c>
    </row>
    <row r="90" spans="1:4" x14ac:dyDescent="0.3">
      <c r="A90" s="1">
        <v>25159</v>
      </c>
      <c r="B90" s="2">
        <v>45933</v>
      </c>
      <c r="C90" s="2">
        <v>45933</v>
      </c>
      <c r="D90">
        <f t="shared" si="2"/>
        <v>0</v>
      </c>
    </row>
    <row r="91" spans="1:4" x14ac:dyDescent="0.3">
      <c r="A91" s="1">
        <v>25160</v>
      </c>
      <c r="B91" s="2">
        <v>45961</v>
      </c>
      <c r="C91" s="2">
        <v>45961</v>
      </c>
      <c r="D91">
        <f t="shared" si="2"/>
        <v>0</v>
      </c>
    </row>
    <row r="92" spans="1:4" x14ac:dyDescent="0.3">
      <c r="A92" s="1">
        <v>25161</v>
      </c>
      <c r="B92" s="2">
        <v>45933</v>
      </c>
      <c r="C92" s="2">
        <v>45933</v>
      </c>
      <c r="D92">
        <f t="shared" si="2"/>
        <v>0</v>
      </c>
    </row>
    <row r="93" spans="1:4" x14ac:dyDescent="0.3">
      <c r="A93" s="1">
        <v>25165</v>
      </c>
      <c r="B93" s="2">
        <v>45982</v>
      </c>
      <c r="C93" s="2">
        <v>45982</v>
      </c>
      <c r="D93">
        <f t="shared" si="2"/>
        <v>0</v>
      </c>
    </row>
    <row r="94" spans="1:4" x14ac:dyDescent="0.3">
      <c r="A94" s="1">
        <v>25166</v>
      </c>
      <c r="B94" s="2">
        <v>46045</v>
      </c>
      <c r="C94" s="2">
        <v>46045</v>
      </c>
      <c r="D94">
        <f t="shared" si="2"/>
        <v>0</v>
      </c>
    </row>
    <row r="95" spans="1:4" x14ac:dyDescent="0.3">
      <c r="A95" s="1">
        <v>25168</v>
      </c>
      <c r="B95" s="2">
        <v>46080</v>
      </c>
      <c r="C95" s="2">
        <v>46080</v>
      </c>
      <c r="D95">
        <f t="shared" si="2"/>
        <v>0</v>
      </c>
    </row>
    <row r="96" spans="1:4" x14ac:dyDescent="0.3">
      <c r="A96" s="1">
        <v>25169</v>
      </c>
      <c r="B96" s="2">
        <v>45989</v>
      </c>
      <c r="C96" s="2">
        <v>45989</v>
      </c>
      <c r="D96">
        <f t="shared" si="2"/>
        <v>0</v>
      </c>
    </row>
    <row r="97" spans="1:4" x14ac:dyDescent="0.3">
      <c r="A97" s="1">
        <v>25170</v>
      </c>
      <c r="B97" s="2">
        <v>45982</v>
      </c>
      <c r="C97" s="2">
        <v>45982</v>
      </c>
      <c r="D97">
        <f t="shared" si="2"/>
        <v>0</v>
      </c>
    </row>
    <row r="98" spans="1:4" x14ac:dyDescent="0.3">
      <c r="A98" s="1">
        <v>25171</v>
      </c>
      <c r="B98" s="2">
        <v>45982</v>
      </c>
      <c r="C98" s="2">
        <v>45982</v>
      </c>
      <c r="D98">
        <f t="shared" ref="D98:D129" si="3">C98-B98</f>
        <v>0</v>
      </c>
    </row>
    <row r="99" spans="1:4" x14ac:dyDescent="0.3">
      <c r="A99" s="1">
        <v>25172</v>
      </c>
      <c r="B99" s="2">
        <v>45996</v>
      </c>
      <c r="C99" s="2">
        <v>45996</v>
      </c>
      <c r="D99">
        <f t="shared" si="3"/>
        <v>0</v>
      </c>
    </row>
    <row r="100" spans="1:4" x14ac:dyDescent="0.3">
      <c r="A100" s="1">
        <v>25173</v>
      </c>
      <c r="B100" s="2">
        <v>45975</v>
      </c>
      <c r="C100" s="2">
        <v>45975</v>
      </c>
      <c r="D100">
        <f t="shared" si="3"/>
        <v>0</v>
      </c>
    </row>
    <row r="101" spans="1:4" x14ac:dyDescent="0.3">
      <c r="A101" s="1">
        <v>25174</v>
      </c>
      <c r="B101" s="2">
        <v>45982</v>
      </c>
      <c r="C101" s="2">
        <v>45982</v>
      </c>
      <c r="D101">
        <f t="shared" si="3"/>
        <v>0</v>
      </c>
    </row>
    <row r="102" spans="1:4" x14ac:dyDescent="0.3">
      <c r="A102" s="1">
        <v>25175</v>
      </c>
      <c r="B102" s="2">
        <v>45989</v>
      </c>
      <c r="C102" s="2">
        <v>45989</v>
      </c>
      <c r="D102">
        <f t="shared" si="3"/>
        <v>0</v>
      </c>
    </row>
    <row r="103" spans="1:4" x14ac:dyDescent="0.3">
      <c r="A103" s="1">
        <v>25176</v>
      </c>
      <c r="B103" s="2">
        <v>45989</v>
      </c>
      <c r="C103" s="2">
        <v>45989</v>
      </c>
      <c r="D103">
        <f t="shared" si="3"/>
        <v>0</v>
      </c>
    </row>
    <row r="104" spans="1:4" x14ac:dyDescent="0.3">
      <c r="A104" s="1">
        <v>25177</v>
      </c>
      <c r="B104" s="2">
        <v>46031</v>
      </c>
      <c r="C104" s="2">
        <v>46031</v>
      </c>
      <c r="D104">
        <f t="shared" si="3"/>
        <v>0</v>
      </c>
    </row>
    <row r="105" spans="1:4" x14ac:dyDescent="0.3">
      <c r="A105" s="1">
        <v>25178</v>
      </c>
      <c r="B105" s="2">
        <v>45982</v>
      </c>
      <c r="C105" s="2">
        <v>45982</v>
      </c>
      <c r="D105">
        <f t="shared" si="3"/>
        <v>0</v>
      </c>
    </row>
    <row r="106" spans="1:4" x14ac:dyDescent="0.3">
      <c r="A106" s="1">
        <v>25179</v>
      </c>
      <c r="B106" s="2">
        <v>45982</v>
      </c>
      <c r="C106" s="2">
        <v>45982</v>
      </c>
      <c r="D106">
        <f t="shared" si="3"/>
        <v>0</v>
      </c>
    </row>
    <row r="107" spans="1:4" x14ac:dyDescent="0.3">
      <c r="A107" s="1">
        <v>25181</v>
      </c>
      <c r="B107" s="2">
        <v>45989</v>
      </c>
      <c r="C107" s="2">
        <v>45989</v>
      </c>
      <c r="D107">
        <f t="shared" si="3"/>
        <v>0</v>
      </c>
    </row>
    <row r="108" spans="1:4" x14ac:dyDescent="0.3">
      <c r="A108" s="1">
        <v>25182</v>
      </c>
      <c r="B108" s="2">
        <v>45975</v>
      </c>
      <c r="C108" s="2">
        <v>45975</v>
      </c>
      <c r="D108">
        <f t="shared" si="3"/>
        <v>0</v>
      </c>
    </row>
    <row r="109" spans="1:4" x14ac:dyDescent="0.3">
      <c r="A109" s="1">
        <v>25185</v>
      </c>
      <c r="B109" s="2">
        <v>46031</v>
      </c>
      <c r="C109" s="2">
        <v>46031</v>
      </c>
      <c r="D109">
        <f t="shared" si="3"/>
        <v>0</v>
      </c>
    </row>
    <row r="110" spans="1:4" x14ac:dyDescent="0.3">
      <c r="A110" s="1">
        <v>25187</v>
      </c>
      <c r="B110" s="2">
        <v>46003</v>
      </c>
      <c r="C110" s="2">
        <v>46003</v>
      </c>
      <c r="D110">
        <f t="shared" si="3"/>
        <v>0</v>
      </c>
    </row>
    <row r="111" spans="1:4" x14ac:dyDescent="0.3">
      <c r="A111" s="1">
        <v>25189</v>
      </c>
      <c r="B111" s="2">
        <v>46003</v>
      </c>
      <c r="C111" s="2">
        <v>46003</v>
      </c>
      <c r="D111">
        <f t="shared" si="3"/>
        <v>0</v>
      </c>
    </row>
    <row r="112" spans="1:4" x14ac:dyDescent="0.3">
      <c r="A112" s="1">
        <v>25190</v>
      </c>
      <c r="B112" s="2">
        <v>46003</v>
      </c>
      <c r="C112" s="2">
        <v>46003</v>
      </c>
      <c r="D112">
        <f t="shared" si="3"/>
        <v>0</v>
      </c>
    </row>
    <row r="113" spans="1:4" x14ac:dyDescent="0.3">
      <c r="A113" s="1">
        <v>25191</v>
      </c>
      <c r="B113" s="2">
        <v>45996</v>
      </c>
      <c r="C113" s="2">
        <v>45996</v>
      </c>
      <c r="D113">
        <f t="shared" si="3"/>
        <v>0</v>
      </c>
    </row>
    <row r="114" spans="1:4" x14ac:dyDescent="0.3">
      <c r="A114" s="1">
        <v>25194</v>
      </c>
      <c r="B114" s="2">
        <v>45996</v>
      </c>
      <c r="C114" s="2">
        <v>45996</v>
      </c>
      <c r="D114">
        <f t="shared" si="3"/>
        <v>0</v>
      </c>
    </row>
    <row r="115" spans="1:4" x14ac:dyDescent="0.3">
      <c r="A115" s="1">
        <v>25200</v>
      </c>
      <c r="B115" s="2">
        <v>46022</v>
      </c>
      <c r="C115" s="2">
        <v>46022</v>
      </c>
      <c r="D115">
        <f t="shared" si="3"/>
        <v>0</v>
      </c>
    </row>
    <row r="116" spans="1:4" x14ac:dyDescent="0.3">
      <c r="A116" s="1">
        <v>25202</v>
      </c>
      <c r="B116" s="2">
        <v>46038</v>
      </c>
      <c r="C116" s="2">
        <v>46038</v>
      </c>
      <c r="D116">
        <f t="shared" si="3"/>
        <v>0</v>
      </c>
    </row>
    <row r="117" spans="1:4" x14ac:dyDescent="0.3">
      <c r="A117" s="1">
        <v>25203</v>
      </c>
      <c r="B117" s="2">
        <v>45996</v>
      </c>
      <c r="C117" s="2">
        <v>45996</v>
      </c>
      <c r="D117">
        <f t="shared" si="3"/>
        <v>0</v>
      </c>
    </row>
    <row r="118" spans="1:4" x14ac:dyDescent="0.3">
      <c r="A118" s="1">
        <v>25206</v>
      </c>
      <c r="B118" s="2">
        <v>46003</v>
      </c>
      <c r="C118" s="2">
        <v>46003</v>
      </c>
      <c r="D118">
        <f t="shared" si="3"/>
        <v>0</v>
      </c>
    </row>
    <row r="119" spans="1:4" x14ac:dyDescent="0.3">
      <c r="A119" s="1">
        <v>25207</v>
      </c>
      <c r="B119" s="2">
        <v>46045</v>
      </c>
      <c r="C119" s="2">
        <v>46045</v>
      </c>
      <c r="D119">
        <f t="shared" si="3"/>
        <v>0</v>
      </c>
    </row>
    <row r="120" spans="1:4" x14ac:dyDescent="0.3">
      <c r="A120" s="1">
        <v>25210</v>
      </c>
      <c r="B120" s="2">
        <v>46094</v>
      </c>
      <c r="C120" s="2">
        <v>46094</v>
      </c>
      <c r="D120">
        <f t="shared" si="3"/>
        <v>0</v>
      </c>
    </row>
    <row r="121" spans="1:4" x14ac:dyDescent="0.3">
      <c r="A121" s="1">
        <v>25212</v>
      </c>
      <c r="B121" s="2">
        <v>46115</v>
      </c>
      <c r="C121" s="2">
        <v>46115</v>
      </c>
      <c r="D121">
        <f t="shared" si="3"/>
        <v>0</v>
      </c>
    </row>
    <row r="122" spans="1:4" x14ac:dyDescent="0.3">
      <c r="A122" s="1">
        <v>25213</v>
      </c>
      <c r="B122" s="2">
        <v>46094</v>
      </c>
      <c r="C122" s="2">
        <v>46094</v>
      </c>
      <c r="D122">
        <f t="shared" si="3"/>
        <v>0</v>
      </c>
    </row>
    <row r="123" spans="1:4" x14ac:dyDescent="0.3">
      <c r="A123" s="1">
        <v>25214</v>
      </c>
      <c r="B123" s="2">
        <v>46059</v>
      </c>
      <c r="C123" s="2">
        <v>46059</v>
      </c>
      <c r="D123">
        <f t="shared" si="3"/>
        <v>0</v>
      </c>
    </row>
    <row r="124" spans="1:4" x14ac:dyDescent="0.3">
      <c r="A124" s="1">
        <v>25220</v>
      </c>
      <c r="B124" s="2">
        <v>46073</v>
      </c>
      <c r="C124" s="2">
        <v>46073</v>
      </c>
      <c r="D124">
        <f t="shared" si="3"/>
        <v>0</v>
      </c>
    </row>
    <row r="125" spans="1:4" x14ac:dyDescent="0.3">
      <c r="A125" s="1">
        <v>25221</v>
      </c>
      <c r="B125" s="2">
        <v>46073</v>
      </c>
      <c r="C125" s="2">
        <v>46073</v>
      </c>
      <c r="D125">
        <f t="shared" si="3"/>
        <v>0</v>
      </c>
    </row>
    <row r="126" spans="1:4" x14ac:dyDescent="0.3">
      <c r="A126" s="1">
        <v>25228</v>
      </c>
      <c r="B126" s="2">
        <v>46045</v>
      </c>
      <c r="C126" s="2">
        <v>46045</v>
      </c>
      <c r="D126">
        <f t="shared" si="3"/>
        <v>0</v>
      </c>
    </row>
    <row r="127" spans="1:4" x14ac:dyDescent="0.3">
      <c r="A127" s="1">
        <v>25231</v>
      </c>
      <c r="B127" s="2">
        <v>46022</v>
      </c>
      <c r="C127" s="2">
        <v>46022</v>
      </c>
      <c r="D127">
        <f t="shared" si="3"/>
        <v>0</v>
      </c>
    </row>
    <row r="128" spans="1:4" x14ac:dyDescent="0.3">
      <c r="A128" s="1">
        <v>25233</v>
      </c>
      <c r="B128" s="2">
        <v>46066</v>
      </c>
      <c r="C128" s="2">
        <v>46066</v>
      </c>
      <c r="D128">
        <f t="shared" si="3"/>
        <v>0</v>
      </c>
    </row>
    <row r="129" spans="1:4" x14ac:dyDescent="0.3">
      <c r="A129" s="1">
        <v>25234</v>
      </c>
      <c r="B129" s="2">
        <v>46094</v>
      </c>
      <c r="C129" s="2">
        <v>46094</v>
      </c>
      <c r="D129">
        <f t="shared" si="3"/>
        <v>0</v>
      </c>
    </row>
    <row r="130" spans="1:4" x14ac:dyDescent="0.3">
      <c r="A130" s="1">
        <v>25237</v>
      </c>
      <c r="B130" s="2">
        <v>46142</v>
      </c>
      <c r="C130" s="2">
        <v>46142</v>
      </c>
      <c r="D130">
        <f t="shared" ref="D130:D161" si="4">C130-B130</f>
        <v>0</v>
      </c>
    </row>
    <row r="131" spans="1:4" x14ac:dyDescent="0.3">
      <c r="A131" s="1">
        <v>25238</v>
      </c>
      <c r="B131" s="2">
        <v>46031</v>
      </c>
      <c r="C131" s="2">
        <v>46031</v>
      </c>
      <c r="D131">
        <f t="shared" si="4"/>
        <v>0</v>
      </c>
    </row>
    <row r="132" spans="1:4" x14ac:dyDescent="0.3">
      <c r="A132" s="1">
        <v>25243</v>
      </c>
      <c r="B132" s="2">
        <v>46080</v>
      </c>
      <c r="C132" s="2">
        <v>46080</v>
      </c>
      <c r="D132">
        <f t="shared" si="4"/>
        <v>0</v>
      </c>
    </row>
    <row r="133" spans="1:4" x14ac:dyDescent="0.3">
      <c r="A133" s="1">
        <v>25244</v>
      </c>
      <c r="B133" s="2">
        <v>46052</v>
      </c>
      <c r="C133" s="2">
        <v>46052</v>
      </c>
      <c r="D133">
        <f t="shared" si="4"/>
        <v>0</v>
      </c>
    </row>
    <row r="134" spans="1:4" x14ac:dyDescent="0.3">
      <c r="A134" s="1">
        <v>26005</v>
      </c>
      <c r="B134" s="2">
        <v>46080</v>
      </c>
      <c r="C134" s="2">
        <v>46080</v>
      </c>
      <c r="D134">
        <f t="shared" si="4"/>
        <v>0</v>
      </c>
    </row>
    <row r="135" spans="1:4" x14ac:dyDescent="0.3">
      <c r="A135" s="1">
        <v>26008</v>
      </c>
      <c r="B135" s="2">
        <v>46122</v>
      </c>
      <c r="C135" s="2">
        <v>46122</v>
      </c>
      <c r="D135">
        <f t="shared" si="4"/>
        <v>0</v>
      </c>
    </row>
    <row r="136" spans="1:4" x14ac:dyDescent="0.3">
      <c r="A136" s="1">
        <v>26009</v>
      </c>
      <c r="B136" s="2">
        <v>46080</v>
      </c>
      <c r="C136" s="2">
        <v>46080</v>
      </c>
      <c r="D136">
        <f t="shared" si="4"/>
        <v>0</v>
      </c>
    </row>
    <row r="137" spans="1:4" x14ac:dyDescent="0.3">
      <c r="A137" s="1">
        <v>26015</v>
      </c>
      <c r="B137" s="2">
        <v>46129</v>
      </c>
      <c r="C137" s="2">
        <v>46129</v>
      </c>
      <c r="D137">
        <f t="shared" si="4"/>
        <v>0</v>
      </c>
    </row>
    <row r="138" spans="1:4" x14ac:dyDescent="0.3">
      <c r="A138" s="1">
        <v>26019</v>
      </c>
      <c r="B138" s="2">
        <v>46115</v>
      </c>
      <c r="C138" s="2">
        <v>46115</v>
      </c>
      <c r="D138">
        <f t="shared" si="4"/>
        <v>0</v>
      </c>
    </row>
    <row r="139" spans="1:4" x14ac:dyDescent="0.3">
      <c r="A139" s="1">
        <v>26022</v>
      </c>
      <c r="B139" s="2">
        <v>46129</v>
      </c>
      <c r="C139" s="2">
        <v>46129</v>
      </c>
      <c r="D139">
        <f t="shared" si="4"/>
        <v>0</v>
      </c>
    </row>
    <row r="140" spans="1:4" x14ac:dyDescent="0.3">
      <c r="A140" s="1">
        <v>26031</v>
      </c>
      <c r="B140" s="2">
        <v>46136</v>
      </c>
      <c r="C140" s="2">
        <v>46136</v>
      </c>
      <c r="D140">
        <f t="shared" si="4"/>
        <v>0</v>
      </c>
    </row>
    <row r="141" spans="1:4" x14ac:dyDescent="0.3">
      <c r="A141" s="1">
        <v>26044</v>
      </c>
      <c r="B141" s="2">
        <v>46136</v>
      </c>
      <c r="C141" s="2">
        <v>46136</v>
      </c>
      <c r="D141">
        <f t="shared" si="4"/>
        <v>0</v>
      </c>
    </row>
    <row r="142" spans="1:4" x14ac:dyDescent="0.3">
      <c r="A142" s="1">
        <v>26045</v>
      </c>
      <c r="B142" s="2">
        <v>46150</v>
      </c>
      <c r="C142" s="2">
        <v>46150</v>
      </c>
      <c r="D142">
        <f t="shared" si="4"/>
        <v>0</v>
      </c>
    </row>
    <row r="143" spans="1:4" x14ac:dyDescent="0.3">
      <c r="A143" s="1">
        <v>26046</v>
      </c>
      <c r="B143" s="2">
        <v>46150</v>
      </c>
      <c r="C143" s="2">
        <v>46150</v>
      </c>
      <c r="D143">
        <f t="shared" si="4"/>
        <v>0</v>
      </c>
    </row>
    <row r="144" spans="1:4" x14ac:dyDescent="0.3">
      <c r="A144" s="1">
        <v>26047</v>
      </c>
      <c r="B144" s="2">
        <v>46129</v>
      </c>
      <c r="C144" s="2">
        <v>46129</v>
      </c>
      <c r="D144">
        <f t="shared" si="4"/>
        <v>0</v>
      </c>
    </row>
    <row r="145" spans="1:4" x14ac:dyDescent="0.3">
      <c r="A145" s="1">
        <v>26060</v>
      </c>
      <c r="B145" s="2">
        <v>46164</v>
      </c>
      <c r="C145" s="2">
        <v>46164</v>
      </c>
      <c r="D145">
        <f t="shared" si="4"/>
        <v>0</v>
      </c>
    </row>
    <row r="146" spans="1:4" x14ac:dyDescent="0.3">
      <c r="A146" s="1">
        <v>26035</v>
      </c>
      <c r="B146" s="2">
        <v>46130</v>
      </c>
      <c r="C146" s="2">
        <v>46129</v>
      </c>
      <c r="D146">
        <f t="shared" si="4"/>
        <v>-1</v>
      </c>
    </row>
    <row r="147" spans="1:4" x14ac:dyDescent="0.3">
      <c r="A147" s="1">
        <v>25205</v>
      </c>
      <c r="B147" s="2">
        <v>46080</v>
      </c>
      <c r="C147" s="2">
        <v>46078</v>
      </c>
      <c r="D147">
        <f t="shared" si="4"/>
        <v>-2</v>
      </c>
    </row>
    <row r="148" spans="1:4" x14ac:dyDescent="0.3">
      <c r="A148" s="1">
        <v>25249</v>
      </c>
      <c r="B148" s="2">
        <v>46142</v>
      </c>
      <c r="C148" s="2">
        <v>46136</v>
      </c>
      <c r="D148">
        <f t="shared" si="4"/>
        <v>-6</v>
      </c>
    </row>
    <row r="149" spans="1:4" x14ac:dyDescent="0.3">
      <c r="A149" s="1">
        <v>25091</v>
      </c>
      <c r="B149" s="2">
        <v>46003</v>
      </c>
      <c r="C149" s="2">
        <v>45996</v>
      </c>
      <c r="D149">
        <f t="shared" si="4"/>
        <v>-7</v>
      </c>
    </row>
    <row r="150" spans="1:4" x14ac:dyDescent="0.3">
      <c r="A150" s="1">
        <v>25092</v>
      </c>
      <c r="B150" s="2">
        <v>45961</v>
      </c>
      <c r="C150" s="2">
        <v>45954</v>
      </c>
      <c r="D150">
        <f t="shared" si="4"/>
        <v>-7</v>
      </c>
    </row>
    <row r="151" spans="1:4" x14ac:dyDescent="0.3">
      <c r="A151" s="1">
        <v>25109</v>
      </c>
      <c r="B151" s="2">
        <v>45926</v>
      </c>
      <c r="C151" s="2">
        <v>45919</v>
      </c>
      <c r="D151">
        <f t="shared" si="4"/>
        <v>-7</v>
      </c>
    </row>
    <row r="152" spans="1:4" x14ac:dyDescent="0.3">
      <c r="A152" s="1">
        <v>25216</v>
      </c>
      <c r="B152" s="2">
        <v>46080</v>
      </c>
      <c r="C152" s="2">
        <v>46073</v>
      </c>
      <c r="D152">
        <f t="shared" si="4"/>
        <v>-7</v>
      </c>
    </row>
    <row r="153" spans="1:4" x14ac:dyDescent="0.3">
      <c r="A153" s="1">
        <v>25250</v>
      </c>
      <c r="B153" s="2">
        <v>46157</v>
      </c>
      <c r="C153" s="2">
        <v>46150</v>
      </c>
      <c r="D153">
        <f t="shared" si="4"/>
        <v>-7</v>
      </c>
    </row>
    <row r="154" spans="1:4" x14ac:dyDescent="0.3">
      <c r="A154" s="1">
        <v>25251</v>
      </c>
      <c r="B154" s="2">
        <v>46136</v>
      </c>
      <c r="C154" s="2">
        <v>46129</v>
      </c>
      <c r="D154">
        <f t="shared" si="4"/>
        <v>-7</v>
      </c>
    </row>
    <row r="155" spans="1:4" x14ac:dyDescent="0.3">
      <c r="A155" s="1">
        <v>26061</v>
      </c>
      <c r="B155" s="2">
        <v>46129</v>
      </c>
      <c r="C155" s="2">
        <v>46119</v>
      </c>
      <c r="D155">
        <f t="shared" si="4"/>
        <v>-10</v>
      </c>
    </row>
    <row r="156" spans="1:4" x14ac:dyDescent="0.3">
      <c r="A156" s="1">
        <v>25040</v>
      </c>
      <c r="B156" s="2">
        <v>45982</v>
      </c>
      <c r="C156" s="2">
        <v>45968</v>
      </c>
      <c r="D156">
        <f t="shared" si="4"/>
        <v>-14</v>
      </c>
    </row>
    <row r="157" spans="1:4" x14ac:dyDescent="0.3">
      <c r="A157" s="1">
        <v>25209</v>
      </c>
      <c r="B157" s="2">
        <v>46136</v>
      </c>
      <c r="C157" s="2">
        <v>46122</v>
      </c>
      <c r="D157">
        <f t="shared" si="4"/>
        <v>-14</v>
      </c>
    </row>
    <row r="158" spans="1:4" x14ac:dyDescent="0.3">
      <c r="A158" s="1">
        <v>25246</v>
      </c>
      <c r="B158" s="2">
        <v>46080</v>
      </c>
      <c r="C158" s="2">
        <v>46066</v>
      </c>
      <c r="D158">
        <f t="shared" si="4"/>
        <v>-14</v>
      </c>
    </row>
    <row r="159" spans="1:4" x14ac:dyDescent="0.3">
      <c r="A159" s="1">
        <v>25252</v>
      </c>
      <c r="B159" s="2">
        <v>46164</v>
      </c>
      <c r="C159" s="2">
        <v>46150</v>
      </c>
      <c r="D159">
        <f t="shared" si="4"/>
        <v>-14</v>
      </c>
    </row>
    <row r="160" spans="1:4" x14ac:dyDescent="0.3">
      <c r="A160" s="1">
        <v>26057</v>
      </c>
      <c r="B160" s="2">
        <v>46142</v>
      </c>
      <c r="C160" s="2">
        <v>46126</v>
      </c>
      <c r="D160">
        <f t="shared" si="4"/>
        <v>-16</v>
      </c>
    </row>
    <row r="161" spans="1:4" x14ac:dyDescent="0.3">
      <c r="A161" s="1">
        <v>25223</v>
      </c>
      <c r="B161" s="2">
        <v>46037</v>
      </c>
      <c r="C161" s="2">
        <v>46017</v>
      </c>
      <c r="D161">
        <f t="shared" si="4"/>
        <v>-20</v>
      </c>
    </row>
    <row r="162" spans="1:4" x14ac:dyDescent="0.3">
      <c r="A162" s="1">
        <v>25124</v>
      </c>
      <c r="B162" s="2">
        <v>45982</v>
      </c>
      <c r="C162" s="2">
        <v>45940</v>
      </c>
      <c r="D162">
        <f t="shared" ref="D162" si="5">C162-B162</f>
        <v>-42</v>
      </c>
    </row>
  </sheetData>
  <autoFilter ref="A1:D162" xr:uid="{F486EF12-49B5-4966-8B56-D2FBA1216C7F}">
    <sortState xmlns:xlrd2="http://schemas.microsoft.com/office/spreadsheetml/2017/richdata2" ref="A2:D162">
      <sortCondition descending="1" ref="D1:D1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Props1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2026-06-05T09:18:14Z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